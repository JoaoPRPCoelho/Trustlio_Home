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90" customHeight="1">
      <c r="A1" s="1" t="inlineStr">
        <is>
          <t>Product slug (matches JSON file name)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Subcategory</t>
        </is>
      </c>
      <c r="F1" s="1" t="inlineStr">
        <is>
          <t>Date reviewed (YYYY-MM-DD)</t>
        </is>
      </c>
      <c r="G1" s="1" t="inlineStr">
        <is>
          <t>Hands-on tested by us? (Y/N)</t>
        </is>
      </c>
      <c r="H1" s="1" t="inlineStr">
        <is>
          <t>GATE: active recall in a market where it's sold? (Y/N)</t>
        </is>
      </c>
      <c r="I1" s="1" t="inlineStr">
        <is>
          <t>E1 # independent sources with real use</t>
        </is>
      </c>
      <c r="J1" s="1" t="inlineStr">
        <is>
          <t>E2 consensus on main function (Y/Partial/N)</t>
        </is>
      </c>
      <c r="K1" s="1" t="inlineStr">
        <is>
          <t>E3 no recurring failure mode in 2+ sources (Y/N)</t>
        </is>
      </c>
      <c r="L1" s="1" t="inlineStr">
        <is>
          <t>S1 no brand recalls in category, last 5y (Y/N)</t>
        </is>
      </c>
      <c r="M1" s="1" t="inlineStr">
        <is>
          <t>S2 certification applies to category? (Y/N)</t>
        </is>
      </c>
      <c r="N1" s="1" t="inlineStr">
        <is>
          <t>S2 certification verified (Y/N)</t>
        </is>
      </c>
      <c r="O1" s="1" t="inlineStr">
        <is>
          <t>S3 materials &amp; safety warnings declared (Y/N)</t>
        </is>
      </c>
      <c r="P1" s="1" t="inlineStr">
        <is>
          <t>P1 dimensions/weight/materials published (Y/Partial/N)</t>
        </is>
      </c>
      <c r="Q1" s="1" t="inlineStr">
        <is>
          <t>P2 measurable claims (Y/Partial/N)</t>
        </is>
      </c>
      <c r="R1" s="1" t="inlineStr">
        <is>
          <t>P3 claims confirmed by independent source (Y/N)</t>
        </is>
      </c>
      <c r="S1" s="1" t="inlineStr">
        <is>
          <t>B1 own site with contact + address (Y/N)</t>
        </is>
      </c>
      <c r="T1" s="1" t="inlineStr">
        <is>
          <t>B2 trademark registered USPTO/EUIPO/UK IPO (Y/N)</t>
        </is>
      </c>
      <c r="U1" s="1" t="inlineStr">
        <is>
          <t>B3 years on market (number)</t>
        </is>
      </c>
      <c r="V1" s="1" t="inlineStr">
        <is>
          <t>W1 manufacturer warranty, years (number)</t>
        </is>
      </c>
      <c r="W1" s="1" t="inlineStr">
        <is>
          <t>W2 warranty terms published, clear claim process (Y/N)</t>
        </is>
      </c>
      <c r="X1" s="1" t="inlineStr">
        <is>
          <t>W3 spare parts or documented support (Y/N)</t>
        </is>
      </c>
      <c r="Y1" s="2" t="inlineStr">
        <is>
          <t>Independent evidence /30</t>
        </is>
      </c>
      <c r="Z1" s="2" t="inlineStr">
        <is>
          <t>Safety &amp; compliance /20</t>
        </is>
      </c>
      <c r="AA1" s="2" t="inlineStr">
        <is>
          <t>Specs &amp; claims /20</t>
        </is>
      </c>
      <c r="AB1" s="2" t="inlineStr">
        <is>
          <t>Brand accountability /15</t>
        </is>
      </c>
      <c r="AC1" s="2" t="inlineStr">
        <is>
          <t>Warranty &amp; support /15</t>
        </is>
      </c>
      <c r="AD1" s="2" t="inlineStr">
        <is>
          <t>TRUST SCORE /100</t>
        </is>
      </c>
      <c r="AE1" s="2" t="inlineStr">
        <is>
          <t>Status</t>
        </is>
      </c>
      <c r="AF1" s="2" t="inlineStr">
        <is>
          <t>Band</t>
        </is>
      </c>
      <c r="AG1" s="2" t="inlineStr">
        <is>
          <t>Confidence</t>
        </is>
      </c>
    </row>
    <row r="2">
      <c r="Y2" s="3">
        <f>IF(I2&gt;=3,10,IF(I2=2,5,0))+IF(J2="Y",10,IF(J2="Partial",5,0))+IF(K2="Y",10,0)</f>
        <v/>
      </c>
      <c r="Z2" s="3">
        <f>IF(M2="Y",IF(L2="Y",8,0)+IF(N2="Y",8,0)+IF(O2="Y",4,0),ROUND((IF(L2="Y",8,0)+IF(O2="Y",4,0))*20/12,1))</f>
        <v/>
      </c>
      <c r="AA2" s="3">
        <f>IF(P2="Y",8,IF(P2="Partial",4,0))+IF(Q2="Y",6,IF(Q2="Partial",3,0))+IF(R2="Y",6,0)</f>
        <v/>
      </c>
      <c r="AB2" s="3">
        <f>IF(S2="Y",5,0)+IF(T2="Y",5,0)+IF(U2&gt;=3,5,IF(U2&gt;=1,2,0))</f>
        <v/>
      </c>
      <c r="AC2" s="3">
        <f>IF(V2&gt;=2,8,IF(V2&gt;=1,5,0))+IF(W2="Y",4,0)+IF(X2="Y",3,0)</f>
        <v/>
      </c>
      <c r="AD2" s="3">
        <f>IF(A2="","",IF(OR(H2="Y",I2&lt;2),"",ROUND(Y2+Z2+AA2+AB2+AC2,0)))</f>
        <v/>
      </c>
      <c r="AE2" s="3">
        <f>IF(A2="","",IF(H2="Y","Not recommended: active recall",IF(I2&lt;2,"Not enough evidence yet","Scored")))</f>
        <v/>
      </c>
      <c r="AF2" s="3">
        <f>IF(AD2="","",IF(AD2&gt;=85,"Excellent",IF(AD2&gt;=70,"Good",IF(AD2&gt;=55,"Fair","Poor"))))</f>
        <v/>
      </c>
      <c r="AG2" s="3">
        <f>IF(AD2="","",IF(OR(G2="Y",I2&gt;=5),"High",IF(I2&gt;=3,"Medium","Low")))</f>
        <v/>
      </c>
    </row>
    <row r="3">
      <c r="Y3" s="3">
        <f>IF(I3&gt;=3,10,IF(I3=2,5,0))+IF(J3="Y",10,IF(J3="Partial",5,0))+IF(K3="Y",10,0)</f>
        <v/>
      </c>
      <c r="Z3" s="3">
        <f>IF(M3="Y",IF(L3="Y",8,0)+IF(N3="Y",8,0)+IF(O3="Y",4,0),ROUND((IF(L3="Y",8,0)+IF(O3="Y",4,0))*20/12,1))</f>
        <v/>
      </c>
      <c r="AA3" s="3">
        <f>IF(P3="Y",8,IF(P3="Partial",4,0))+IF(Q3="Y",6,IF(Q3="Partial",3,0))+IF(R3="Y",6,0)</f>
        <v/>
      </c>
      <c r="AB3" s="3">
        <f>IF(S3="Y",5,0)+IF(T3="Y",5,0)+IF(U3&gt;=3,5,IF(U3&gt;=1,2,0))</f>
        <v/>
      </c>
      <c r="AC3" s="3">
        <f>IF(V3&gt;=2,8,IF(V3&gt;=1,5,0))+IF(W3="Y",4,0)+IF(X3="Y",3,0)</f>
        <v/>
      </c>
      <c r="AD3" s="3">
        <f>IF(A3="","",IF(OR(H3="Y",I3&lt;2),"",ROUND(Y3+Z3+AA3+AB3+AC3,0)))</f>
        <v/>
      </c>
      <c r="AE3" s="3">
        <f>IF(A3="","",IF(H3="Y","Not recommended: active recall",IF(I3&lt;2,"Not enough evidence yet","Scored")))</f>
        <v/>
      </c>
      <c r="AF3" s="3">
        <f>IF(AD3="","",IF(AD3&gt;=85,"Excellent",IF(AD3&gt;=70,"Good",IF(AD3&gt;=55,"Fair","Poor"))))</f>
        <v/>
      </c>
      <c r="AG3" s="3">
        <f>IF(AD3="","",IF(OR(G3="Y",I3&gt;=5),"High",IF(I3&gt;=3,"Medium","Low")))</f>
        <v/>
      </c>
    </row>
    <row r="4">
      <c r="Y4" s="3">
        <f>IF(I4&gt;=3,10,IF(I4=2,5,0))+IF(J4="Y",10,IF(J4="Partial",5,0))+IF(K4="Y",10,0)</f>
        <v/>
      </c>
      <c r="Z4" s="3">
        <f>IF(M4="Y",IF(L4="Y",8,0)+IF(N4="Y",8,0)+IF(O4="Y",4,0),ROUND((IF(L4="Y",8,0)+IF(O4="Y",4,0))*20/12,1))</f>
        <v/>
      </c>
      <c r="AA4" s="3">
        <f>IF(P4="Y",8,IF(P4="Partial",4,0))+IF(Q4="Y",6,IF(Q4="Partial",3,0))+IF(R4="Y",6,0)</f>
        <v/>
      </c>
      <c r="AB4" s="3">
        <f>IF(S4="Y",5,0)+IF(T4="Y",5,0)+IF(U4&gt;=3,5,IF(U4&gt;=1,2,0))</f>
        <v/>
      </c>
      <c r="AC4" s="3">
        <f>IF(V4&gt;=2,8,IF(V4&gt;=1,5,0))+IF(W4="Y",4,0)+IF(X4="Y",3,0)</f>
        <v/>
      </c>
      <c r="AD4" s="3">
        <f>IF(A4="","",IF(OR(H4="Y",I4&lt;2),"",ROUND(Y4+Z4+AA4+AB4+AC4,0)))</f>
        <v/>
      </c>
      <c r="AE4" s="3">
        <f>IF(A4="","",IF(H4="Y","Not recommended: active recall",IF(I4&lt;2,"Not enough evidence yet","Scored")))</f>
        <v/>
      </c>
      <c r="AF4" s="3">
        <f>IF(AD4="","",IF(AD4&gt;=85,"Excellent",IF(AD4&gt;=70,"Good",IF(AD4&gt;=55,"Fair","Poor"))))</f>
        <v/>
      </c>
      <c r="AG4" s="3">
        <f>IF(AD4="","",IF(OR(G4="Y",I4&gt;=5),"High",IF(I4&gt;=3,"Medium","Low")))</f>
        <v/>
      </c>
    </row>
    <row r="5">
      <c r="Y5" s="3">
        <f>IF(I5&gt;=3,10,IF(I5=2,5,0))+IF(J5="Y",10,IF(J5="Partial",5,0))+IF(K5="Y",10,0)</f>
        <v/>
      </c>
      <c r="Z5" s="3">
        <f>IF(M5="Y",IF(L5="Y",8,0)+IF(N5="Y",8,0)+IF(O5="Y",4,0),ROUND((IF(L5="Y",8,0)+IF(O5="Y",4,0))*20/12,1))</f>
        <v/>
      </c>
      <c r="AA5" s="3">
        <f>IF(P5="Y",8,IF(P5="Partial",4,0))+IF(Q5="Y",6,IF(Q5="Partial",3,0))+IF(R5="Y",6,0)</f>
        <v/>
      </c>
      <c r="AB5" s="3">
        <f>IF(S5="Y",5,0)+IF(T5="Y",5,0)+IF(U5&gt;=3,5,IF(U5&gt;=1,2,0))</f>
        <v/>
      </c>
      <c r="AC5" s="3">
        <f>IF(V5&gt;=2,8,IF(V5&gt;=1,5,0))+IF(W5="Y",4,0)+IF(X5="Y",3,0)</f>
        <v/>
      </c>
      <c r="AD5" s="3">
        <f>IF(A5="","",IF(OR(H5="Y",I5&lt;2),"",ROUND(Y5+Z5+AA5+AB5+AC5,0)))</f>
        <v/>
      </c>
      <c r="AE5" s="3">
        <f>IF(A5="","",IF(H5="Y","Not recommended: active recall",IF(I5&lt;2,"Not enough evidence yet","Scored")))</f>
        <v/>
      </c>
      <c r="AF5" s="3">
        <f>IF(AD5="","",IF(AD5&gt;=85,"Excellent",IF(AD5&gt;=70,"Good",IF(AD5&gt;=55,"Fair","Poor"))))</f>
        <v/>
      </c>
      <c r="AG5" s="3">
        <f>IF(AD5="","",IF(OR(G5="Y",I5&gt;=5),"High",IF(I5&gt;=3,"Medium","Low")))</f>
        <v/>
      </c>
    </row>
    <row r="6">
      <c r="Y6" s="3">
        <f>IF(I6&gt;=3,10,IF(I6=2,5,0))+IF(J6="Y",10,IF(J6="Partial",5,0))+IF(K6="Y",10,0)</f>
        <v/>
      </c>
      <c r="Z6" s="3">
        <f>IF(M6="Y",IF(L6="Y",8,0)+IF(N6="Y",8,0)+IF(O6="Y",4,0),ROUND((IF(L6="Y",8,0)+IF(O6="Y",4,0))*20/12,1))</f>
        <v/>
      </c>
      <c r="AA6" s="3">
        <f>IF(P6="Y",8,IF(P6="Partial",4,0))+IF(Q6="Y",6,IF(Q6="Partial",3,0))+IF(R6="Y",6,0)</f>
        <v/>
      </c>
      <c r="AB6" s="3">
        <f>IF(S6="Y",5,0)+IF(T6="Y",5,0)+IF(U6&gt;=3,5,IF(U6&gt;=1,2,0))</f>
        <v/>
      </c>
      <c r="AC6" s="3">
        <f>IF(V6&gt;=2,8,IF(V6&gt;=1,5,0))+IF(W6="Y",4,0)+IF(X6="Y",3,0)</f>
        <v/>
      </c>
      <c r="AD6" s="3">
        <f>IF(A6="","",IF(OR(H6="Y",I6&lt;2),"",ROUND(Y6+Z6+AA6+AB6+AC6,0)))</f>
        <v/>
      </c>
      <c r="AE6" s="3">
        <f>IF(A6="","",IF(H6="Y","Not recommended: active recall",IF(I6&lt;2,"Not enough evidence yet","Scored")))</f>
        <v/>
      </c>
      <c r="AF6" s="3">
        <f>IF(AD6="","",IF(AD6&gt;=85,"Excellent",IF(AD6&gt;=70,"Good",IF(AD6&gt;=55,"Fair","Poor"))))</f>
        <v/>
      </c>
      <c r="AG6" s="3">
        <f>IF(AD6="","",IF(OR(G6="Y",I6&gt;=5),"High",IF(I6&gt;=3,"Medium","Low")))</f>
        <v/>
      </c>
    </row>
    <row r="7">
      <c r="Y7" s="3">
        <f>IF(I7&gt;=3,10,IF(I7=2,5,0))+IF(J7="Y",10,IF(J7="Partial",5,0))+IF(K7="Y",10,0)</f>
        <v/>
      </c>
      <c r="Z7" s="3">
        <f>IF(M7="Y",IF(L7="Y",8,0)+IF(N7="Y",8,0)+IF(O7="Y",4,0),ROUND((IF(L7="Y",8,0)+IF(O7="Y",4,0))*20/12,1))</f>
        <v/>
      </c>
      <c r="AA7" s="3">
        <f>IF(P7="Y",8,IF(P7="Partial",4,0))+IF(Q7="Y",6,IF(Q7="Partial",3,0))+IF(R7="Y",6,0)</f>
        <v/>
      </c>
      <c r="AB7" s="3">
        <f>IF(S7="Y",5,0)+IF(T7="Y",5,0)+IF(U7&gt;=3,5,IF(U7&gt;=1,2,0))</f>
        <v/>
      </c>
      <c r="AC7" s="3">
        <f>IF(V7&gt;=2,8,IF(V7&gt;=1,5,0))+IF(W7="Y",4,0)+IF(X7="Y",3,0)</f>
        <v/>
      </c>
      <c r="AD7" s="3">
        <f>IF(A7="","",IF(OR(H7="Y",I7&lt;2),"",ROUND(Y7+Z7+AA7+AB7+AC7,0)))</f>
        <v/>
      </c>
      <c r="AE7" s="3">
        <f>IF(A7="","",IF(H7="Y","Not recommended: active recall",IF(I7&lt;2,"Not enough evidence yet","Scored")))</f>
        <v/>
      </c>
      <c r="AF7" s="3">
        <f>IF(AD7="","",IF(AD7&gt;=85,"Excellent",IF(AD7&gt;=70,"Good",IF(AD7&gt;=55,"Fair","Poor"))))</f>
        <v/>
      </c>
      <c r="AG7" s="3">
        <f>IF(AD7="","",IF(OR(G7="Y",I7&gt;=5),"High",IF(I7&gt;=3,"Medium","Low")))</f>
        <v/>
      </c>
    </row>
    <row r="8">
      <c r="Y8" s="3">
        <f>IF(I8&gt;=3,10,IF(I8=2,5,0))+IF(J8="Y",10,IF(J8="Partial",5,0))+IF(K8="Y",10,0)</f>
        <v/>
      </c>
      <c r="Z8" s="3">
        <f>IF(M8="Y",IF(L8="Y",8,0)+IF(N8="Y",8,0)+IF(O8="Y",4,0),ROUND((IF(L8="Y",8,0)+IF(O8="Y",4,0))*20/12,1))</f>
        <v/>
      </c>
      <c r="AA8" s="3">
        <f>IF(P8="Y",8,IF(P8="Partial",4,0))+IF(Q8="Y",6,IF(Q8="Partial",3,0))+IF(R8="Y",6,0)</f>
        <v/>
      </c>
      <c r="AB8" s="3">
        <f>IF(S8="Y",5,0)+IF(T8="Y",5,0)+IF(U8&gt;=3,5,IF(U8&gt;=1,2,0))</f>
        <v/>
      </c>
      <c r="AC8" s="3">
        <f>IF(V8&gt;=2,8,IF(V8&gt;=1,5,0))+IF(W8="Y",4,0)+IF(X8="Y",3,0)</f>
        <v/>
      </c>
      <c r="AD8" s="3">
        <f>IF(A8="","",IF(OR(H8="Y",I8&lt;2),"",ROUND(Y8+Z8+AA8+AB8+AC8,0)))</f>
        <v/>
      </c>
      <c r="AE8" s="3">
        <f>IF(A8="","",IF(H8="Y","Not recommended: active recall",IF(I8&lt;2,"Not enough evidence yet","Scored")))</f>
        <v/>
      </c>
      <c r="AF8" s="3">
        <f>IF(AD8="","",IF(AD8&gt;=85,"Excellent",IF(AD8&gt;=70,"Good",IF(AD8&gt;=55,"Fair","Poor"))))</f>
        <v/>
      </c>
      <c r="AG8" s="3">
        <f>IF(AD8="","",IF(OR(G8="Y",I8&gt;=5),"High",IF(I8&gt;=3,"Medium","Low")))</f>
        <v/>
      </c>
    </row>
    <row r="9">
      <c r="Y9" s="3">
        <f>IF(I9&gt;=3,10,IF(I9=2,5,0))+IF(J9="Y",10,IF(J9="Partial",5,0))+IF(K9="Y",10,0)</f>
        <v/>
      </c>
      <c r="Z9" s="3">
        <f>IF(M9="Y",IF(L9="Y",8,0)+IF(N9="Y",8,0)+IF(O9="Y",4,0),ROUND((IF(L9="Y",8,0)+IF(O9="Y",4,0))*20/12,1))</f>
        <v/>
      </c>
      <c r="AA9" s="3">
        <f>IF(P9="Y",8,IF(P9="Partial",4,0))+IF(Q9="Y",6,IF(Q9="Partial",3,0))+IF(R9="Y",6,0)</f>
        <v/>
      </c>
      <c r="AB9" s="3">
        <f>IF(S9="Y",5,0)+IF(T9="Y",5,0)+IF(U9&gt;=3,5,IF(U9&gt;=1,2,0))</f>
        <v/>
      </c>
      <c r="AC9" s="3">
        <f>IF(V9&gt;=2,8,IF(V9&gt;=1,5,0))+IF(W9="Y",4,0)+IF(X9="Y",3,0)</f>
        <v/>
      </c>
      <c r="AD9" s="3">
        <f>IF(A9="","",IF(OR(H9="Y",I9&lt;2),"",ROUND(Y9+Z9+AA9+AB9+AC9,0)))</f>
        <v/>
      </c>
      <c r="AE9" s="3">
        <f>IF(A9="","",IF(H9="Y","Not recommended: active recall",IF(I9&lt;2,"Not enough evidence yet","Scored")))</f>
        <v/>
      </c>
      <c r="AF9" s="3">
        <f>IF(AD9="","",IF(AD9&gt;=85,"Excellent",IF(AD9&gt;=70,"Good",IF(AD9&gt;=55,"Fair","Poor"))))</f>
        <v/>
      </c>
      <c r="AG9" s="3">
        <f>IF(AD9="","",IF(OR(G9="Y",I9&gt;=5),"High",IF(I9&gt;=3,"Medium","Low")))</f>
        <v/>
      </c>
    </row>
    <row r="10">
      <c r="Y10" s="3">
        <f>IF(I10&gt;=3,10,IF(I10=2,5,0))+IF(J10="Y",10,IF(J10="Partial",5,0))+IF(K10="Y",10,0)</f>
        <v/>
      </c>
      <c r="Z10" s="3">
        <f>IF(M10="Y",IF(L10="Y",8,0)+IF(N10="Y",8,0)+IF(O10="Y",4,0),ROUND((IF(L10="Y",8,0)+IF(O10="Y",4,0))*20/12,1))</f>
        <v/>
      </c>
      <c r="AA10" s="3">
        <f>IF(P10="Y",8,IF(P10="Partial",4,0))+IF(Q10="Y",6,IF(Q10="Partial",3,0))+IF(R10="Y",6,0)</f>
        <v/>
      </c>
      <c r="AB10" s="3">
        <f>IF(S10="Y",5,0)+IF(T10="Y",5,0)+IF(U10&gt;=3,5,IF(U10&gt;=1,2,0))</f>
        <v/>
      </c>
      <c r="AC10" s="3">
        <f>IF(V10&gt;=2,8,IF(V10&gt;=1,5,0))+IF(W10="Y",4,0)+IF(X10="Y",3,0)</f>
        <v/>
      </c>
      <c r="AD10" s="3">
        <f>IF(A10="","",IF(OR(H10="Y",I10&lt;2),"",ROUND(Y10+Z10+AA10+AB10+AC10,0)))</f>
        <v/>
      </c>
      <c r="AE10" s="3">
        <f>IF(A10="","",IF(H10="Y","Not recommended: active recall",IF(I10&lt;2,"Not enough evidence yet","Scored")))</f>
        <v/>
      </c>
      <c r="AF10" s="3">
        <f>IF(AD10="","",IF(AD10&gt;=85,"Excellent",IF(AD10&gt;=70,"Good",IF(AD10&gt;=55,"Fair","Poor"))))</f>
        <v/>
      </c>
      <c r="AG10" s="3">
        <f>IF(AD10="","",IF(OR(G10="Y",I10&gt;=5),"High",IF(I10&gt;=3,"Medium","Low")))</f>
        <v/>
      </c>
    </row>
    <row r="11">
      <c r="Y11" s="3">
        <f>IF(I11&gt;=3,10,IF(I11=2,5,0))+IF(J11="Y",10,IF(J11="Partial",5,0))+IF(K11="Y",10,0)</f>
        <v/>
      </c>
      <c r="Z11" s="3">
        <f>IF(M11="Y",IF(L11="Y",8,0)+IF(N11="Y",8,0)+IF(O11="Y",4,0),ROUND((IF(L11="Y",8,0)+IF(O11="Y",4,0))*20/12,1))</f>
        <v/>
      </c>
      <c r="AA11" s="3">
        <f>IF(P11="Y",8,IF(P11="Partial",4,0))+IF(Q11="Y",6,IF(Q11="Partial",3,0))+IF(R11="Y",6,0)</f>
        <v/>
      </c>
      <c r="AB11" s="3">
        <f>IF(S11="Y",5,0)+IF(T11="Y",5,0)+IF(U11&gt;=3,5,IF(U11&gt;=1,2,0))</f>
        <v/>
      </c>
      <c r="AC11" s="3">
        <f>IF(V11&gt;=2,8,IF(V11&gt;=1,5,0))+IF(W11="Y",4,0)+IF(X11="Y",3,0)</f>
        <v/>
      </c>
      <c r="AD11" s="3">
        <f>IF(A11="","",IF(OR(H11="Y",I11&lt;2),"",ROUND(Y11+Z11+AA11+AB11+AC11,0)))</f>
        <v/>
      </c>
      <c r="AE11" s="3">
        <f>IF(A11="","",IF(H11="Y","Not recommended: active recall",IF(I11&lt;2,"Not enough evidence yet","Scored")))</f>
        <v/>
      </c>
      <c r="AF11" s="3">
        <f>IF(AD11="","",IF(AD11&gt;=85,"Excellent",IF(AD11&gt;=70,"Good",IF(AD11&gt;=55,"Fair","Poor"))))</f>
        <v/>
      </c>
      <c r="AG11" s="3">
        <f>IF(AD11="","",IF(OR(G11="Y",I11&gt;=5),"High",IF(I11&gt;=3,"Medium","Low")))</f>
        <v/>
      </c>
    </row>
    <row r="12">
      <c r="Y12" s="3">
        <f>IF(I12&gt;=3,10,IF(I12=2,5,0))+IF(J12="Y",10,IF(J12="Partial",5,0))+IF(K12="Y",10,0)</f>
        <v/>
      </c>
      <c r="Z12" s="3">
        <f>IF(M12="Y",IF(L12="Y",8,0)+IF(N12="Y",8,0)+IF(O12="Y",4,0),ROUND((IF(L12="Y",8,0)+IF(O12="Y",4,0))*20/12,1))</f>
        <v/>
      </c>
      <c r="AA12" s="3">
        <f>IF(P12="Y",8,IF(P12="Partial",4,0))+IF(Q12="Y",6,IF(Q12="Partial",3,0))+IF(R12="Y",6,0)</f>
        <v/>
      </c>
      <c r="AB12" s="3">
        <f>IF(S12="Y",5,0)+IF(T12="Y",5,0)+IF(U12&gt;=3,5,IF(U12&gt;=1,2,0))</f>
        <v/>
      </c>
      <c r="AC12" s="3">
        <f>IF(V12&gt;=2,8,IF(V12&gt;=1,5,0))+IF(W12="Y",4,0)+IF(X12="Y",3,0)</f>
        <v/>
      </c>
      <c r="AD12" s="3">
        <f>IF(A12="","",IF(OR(H12="Y",I12&lt;2),"",ROUND(Y12+Z12+AA12+AB12+AC12,0)))</f>
        <v/>
      </c>
      <c r="AE12" s="3">
        <f>IF(A12="","",IF(H12="Y","Not recommended: active recall",IF(I12&lt;2,"Not enough evidence yet","Scored")))</f>
        <v/>
      </c>
      <c r="AF12" s="3">
        <f>IF(AD12="","",IF(AD12&gt;=85,"Excellent",IF(AD12&gt;=70,"Good",IF(AD12&gt;=55,"Fair","Poor"))))</f>
        <v/>
      </c>
      <c r="AG12" s="3">
        <f>IF(AD12="","",IF(OR(G12="Y",I12&gt;=5),"High",IF(I12&gt;=3,"Medium","Low")))</f>
        <v/>
      </c>
    </row>
    <row r="13">
      <c r="Y13" s="3">
        <f>IF(I13&gt;=3,10,IF(I13=2,5,0))+IF(J13="Y",10,IF(J13="Partial",5,0))+IF(K13="Y",10,0)</f>
        <v/>
      </c>
      <c r="Z13" s="3">
        <f>IF(M13="Y",IF(L13="Y",8,0)+IF(N13="Y",8,0)+IF(O13="Y",4,0),ROUND((IF(L13="Y",8,0)+IF(O13="Y",4,0))*20/12,1))</f>
        <v/>
      </c>
      <c r="AA13" s="3">
        <f>IF(P13="Y",8,IF(P13="Partial",4,0))+IF(Q13="Y",6,IF(Q13="Partial",3,0))+IF(R13="Y",6,0)</f>
        <v/>
      </c>
      <c r="AB13" s="3">
        <f>IF(S13="Y",5,0)+IF(T13="Y",5,0)+IF(U13&gt;=3,5,IF(U13&gt;=1,2,0))</f>
        <v/>
      </c>
      <c r="AC13" s="3">
        <f>IF(V13&gt;=2,8,IF(V13&gt;=1,5,0))+IF(W13="Y",4,0)+IF(X13="Y",3,0)</f>
        <v/>
      </c>
      <c r="AD13" s="3">
        <f>IF(A13="","",IF(OR(H13="Y",I13&lt;2),"",ROUND(Y13+Z13+AA13+AB13+AC13,0)))</f>
        <v/>
      </c>
      <c r="AE13" s="3">
        <f>IF(A13="","",IF(H13="Y","Not recommended: active recall",IF(I13&lt;2,"Not enough evidence yet","Scored")))</f>
        <v/>
      </c>
      <c r="AF13" s="3">
        <f>IF(AD13="","",IF(AD13&gt;=85,"Excellent",IF(AD13&gt;=70,"Good",IF(AD13&gt;=55,"Fair","Poor"))))</f>
        <v/>
      </c>
      <c r="AG13" s="3">
        <f>IF(AD13="","",IF(OR(G13="Y",I13&gt;=5),"High",IF(I13&gt;=3,"Medium","Low")))</f>
        <v/>
      </c>
    </row>
    <row r="14">
      <c r="Y14" s="3">
        <f>IF(I14&gt;=3,10,IF(I14=2,5,0))+IF(J14="Y",10,IF(J14="Partial",5,0))+IF(K14="Y",10,0)</f>
        <v/>
      </c>
      <c r="Z14" s="3">
        <f>IF(M14="Y",IF(L14="Y",8,0)+IF(N14="Y",8,0)+IF(O14="Y",4,0),ROUND((IF(L14="Y",8,0)+IF(O14="Y",4,0))*20/12,1))</f>
        <v/>
      </c>
      <c r="AA14" s="3">
        <f>IF(P14="Y",8,IF(P14="Partial",4,0))+IF(Q14="Y",6,IF(Q14="Partial",3,0))+IF(R14="Y",6,0)</f>
        <v/>
      </c>
      <c r="AB14" s="3">
        <f>IF(S14="Y",5,0)+IF(T14="Y",5,0)+IF(U14&gt;=3,5,IF(U14&gt;=1,2,0))</f>
        <v/>
      </c>
      <c r="AC14" s="3">
        <f>IF(V14&gt;=2,8,IF(V14&gt;=1,5,0))+IF(W14="Y",4,0)+IF(X14="Y",3,0)</f>
        <v/>
      </c>
      <c r="AD14" s="3">
        <f>IF(A14="","",IF(OR(H14="Y",I14&lt;2),"",ROUND(Y14+Z14+AA14+AB14+AC14,0)))</f>
        <v/>
      </c>
      <c r="AE14" s="3">
        <f>IF(A14="","",IF(H14="Y","Not recommended: active recall",IF(I14&lt;2,"Not enough evidence yet","Scored")))</f>
        <v/>
      </c>
      <c r="AF14" s="3">
        <f>IF(AD14="","",IF(AD14&gt;=85,"Excellent",IF(AD14&gt;=70,"Good",IF(AD14&gt;=55,"Fair","Poor"))))</f>
        <v/>
      </c>
      <c r="AG14" s="3">
        <f>IF(AD14="","",IF(OR(G14="Y",I14&gt;=5),"High",IF(I14&gt;=3,"Medium","Low")))</f>
        <v/>
      </c>
    </row>
    <row r="15">
      <c r="Y15" s="3">
        <f>IF(I15&gt;=3,10,IF(I15=2,5,0))+IF(J15="Y",10,IF(J15="Partial",5,0))+IF(K15="Y",10,0)</f>
        <v/>
      </c>
      <c r="Z15" s="3">
        <f>IF(M15="Y",IF(L15="Y",8,0)+IF(N15="Y",8,0)+IF(O15="Y",4,0),ROUND((IF(L15="Y",8,0)+IF(O15="Y",4,0))*20/12,1))</f>
        <v/>
      </c>
      <c r="AA15" s="3">
        <f>IF(P15="Y",8,IF(P15="Partial",4,0))+IF(Q15="Y",6,IF(Q15="Partial",3,0))+IF(R15="Y",6,0)</f>
        <v/>
      </c>
      <c r="AB15" s="3">
        <f>IF(S15="Y",5,0)+IF(T15="Y",5,0)+IF(U15&gt;=3,5,IF(U15&gt;=1,2,0))</f>
        <v/>
      </c>
      <c r="AC15" s="3">
        <f>IF(V15&gt;=2,8,IF(V15&gt;=1,5,0))+IF(W15="Y",4,0)+IF(X15="Y",3,0)</f>
        <v/>
      </c>
      <c r="AD15" s="3">
        <f>IF(A15="","",IF(OR(H15="Y",I15&lt;2),"",ROUND(Y15+Z15+AA15+AB15+AC15,0)))</f>
        <v/>
      </c>
      <c r="AE15" s="3">
        <f>IF(A15="","",IF(H15="Y","Not recommended: active recall",IF(I15&lt;2,"Not enough evidence yet","Scored")))</f>
        <v/>
      </c>
      <c r="AF15" s="3">
        <f>IF(AD15="","",IF(AD15&gt;=85,"Excellent",IF(AD15&gt;=70,"Good",IF(AD15&gt;=55,"Fair","Poor"))))</f>
        <v/>
      </c>
      <c r="AG15" s="3">
        <f>IF(AD15="","",IF(OR(G15="Y",I15&gt;=5),"High",IF(I15&gt;=3,"Medium","Low")))</f>
        <v/>
      </c>
    </row>
    <row r="16">
      <c r="Y16" s="3">
        <f>IF(I16&gt;=3,10,IF(I16=2,5,0))+IF(J16="Y",10,IF(J16="Partial",5,0))+IF(K16="Y",10,0)</f>
        <v/>
      </c>
      <c r="Z16" s="3">
        <f>IF(M16="Y",IF(L16="Y",8,0)+IF(N16="Y",8,0)+IF(O16="Y",4,0),ROUND((IF(L16="Y",8,0)+IF(O16="Y",4,0))*20/12,1))</f>
        <v/>
      </c>
      <c r="AA16" s="3">
        <f>IF(P16="Y",8,IF(P16="Partial",4,0))+IF(Q16="Y",6,IF(Q16="Partial",3,0))+IF(R16="Y",6,0)</f>
        <v/>
      </c>
      <c r="AB16" s="3">
        <f>IF(S16="Y",5,0)+IF(T16="Y",5,0)+IF(U16&gt;=3,5,IF(U16&gt;=1,2,0))</f>
        <v/>
      </c>
      <c r="AC16" s="3">
        <f>IF(V16&gt;=2,8,IF(V16&gt;=1,5,0))+IF(W16="Y",4,0)+IF(X16="Y",3,0)</f>
        <v/>
      </c>
      <c r="AD16" s="3">
        <f>IF(A16="","",IF(OR(H16="Y",I16&lt;2),"",ROUND(Y16+Z16+AA16+AB16+AC16,0)))</f>
        <v/>
      </c>
      <c r="AE16" s="3">
        <f>IF(A16="","",IF(H16="Y","Not recommended: active recall",IF(I16&lt;2,"Not enough evidence yet","Scored")))</f>
        <v/>
      </c>
      <c r="AF16" s="3">
        <f>IF(AD16="","",IF(AD16&gt;=85,"Excellent",IF(AD16&gt;=70,"Good",IF(AD16&gt;=55,"Fair","Poor"))))</f>
        <v/>
      </c>
      <c r="AG16" s="3">
        <f>IF(AD16="","",IF(OR(G16="Y",I16&gt;=5),"High",IF(I16&gt;=3,"Medium","Low")))</f>
        <v/>
      </c>
    </row>
    <row r="17">
      <c r="Y17" s="3">
        <f>IF(I17&gt;=3,10,IF(I17=2,5,0))+IF(J17="Y",10,IF(J17="Partial",5,0))+IF(K17="Y",10,0)</f>
        <v/>
      </c>
      <c r="Z17" s="3">
        <f>IF(M17="Y",IF(L17="Y",8,0)+IF(N17="Y",8,0)+IF(O17="Y",4,0),ROUND((IF(L17="Y",8,0)+IF(O17="Y",4,0))*20/12,1))</f>
        <v/>
      </c>
      <c r="AA17" s="3">
        <f>IF(P17="Y",8,IF(P17="Partial",4,0))+IF(Q17="Y",6,IF(Q17="Partial",3,0))+IF(R17="Y",6,0)</f>
        <v/>
      </c>
      <c r="AB17" s="3">
        <f>IF(S17="Y",5,0)+IF(T17="Y",5,0)+IF(U17&gt;=3,5,IF(U17&gt;=1,2,0))</f>
        <v/>
      </c>
      <c r="AC17" s="3">
        <f>IF(V17&gt;=2,8,IF(V17&gt;=1,5,0))+IF(W17="Y",4,0)+IF(X17="Y",3,0)</f>
        <v/>
      </c>
      <c r="AD17" s="3">
        <f>IF(A17="","",IF(OR(H17="Y",I17&lt;2),"",ROUND(Y17+Z17+AA17+AB17+AC17,0)))</f>
        <v/>
      </c>
      <c r="AE17" s="3">
        <f>IF(A17="","",IF(H17="Y","Not recommended: active recall",IF(I17&lt;2,"Not enough evidence yet","Scored")))</f>
        <v/>
      </c>
      <c r="AF17" s="3">
        <f>IF(AD17="","",IF(AD17&gt;=85,"Excellent",IF(AD17&gt;=70,"Good",IF(AD17&gt;=55,"Fair","Poor"))))</f>
        <v/>
      </c>
      <c r="AG17" s="3">
        <f>IF(AD17="","",IF(OR(G17="Y",I17&gt;=5),"High",IF(I17&gt;=3,"Medium","Low")))</f>
        <v/>
      </c>
    </row>
    <row r="18">
      <c r="Y18" s="3">
        <f>IF(I18&gt;=3,10,IF(I18=2,5,0))+IF(J18="Y",10,IF(J18="Partial",5,0))+IF(K18="Y",10,0)</f>
        <v/>
      </c>
      <c r="Z18" s="3">
        <f>IF(M18="Y",IF(L18="Y",8,0)+IF(N18="Y",8,0)+IF(O18="Y",4,0),ROUND((IF(L18="Y",8,0)+IF(O18="Y",4,0))*20/12,1))</f>
        <v/>
      </c>
      <c r="AA18" s="3">
        <f>IF(P18="Y",8,IF(P18="Partial",4,0))+IF(Q18="Y",6,IF(Q18="Partial",3,0))+IF(R18="Y",6,0)</f>
        <v/>
      </c>
      <c r="AB18" s="3">
        <f>IF(S18="Y",5,0)+IF(T18="Y",5,0)+IF(U18&gt;=3,5,IF(U18&gt;=1,2,0))</f>
        <v/>
      </c>
      <c r="AC18" s="3">
        <f>IF(V18&gt;=2,8,IF(V18&gt;=1,5,0))+IF(W18="Y",4,0)+IF(X18="Y",3,0)</f>
        <v/>
      </c>
      <c r="AD18" s="3">
        <f>IF(A18="","",IF(OR(H18="Y",I18&lt;2),"",ROUND(Y18+Z18+AA18+AB18+AC18,0)))</f>
        <v/>
      </c>
      <c r="AE18" s="3">
        <f>IF(A18="","",IF(H18="Y","Not recommended: active recall",IF(I18&lt;2,"Not enough evidence yet","Scored")))</f>
        <v/>
      </c>
      <c r="AF18" s="3">
        <f>IF(AD18="","",IF(AD18&gt;=85,"Excellent",IF(AD18&gt;=70,"Good",IF(AD18&gt;=55,"Fair","Poor"))))</f>
        <v/>
      </c>
      <c r="AG18" s="3">
        <f>IF(AD18="","",IF(OR(G18="Y",I18&gt;=5),"High",IF(I18&gt;=3,"Medium","Low")))</f>
        <v/>
      </c>
    </row>
    <row r="19">
      <c r="Y19" s="3">
        <f>IF(I19&gt;=3,10,IF(I19=2,5,0))+IF(J19="Y",10,IF(J19="Partial",5,0))+IF(K19="Y",10,0)</f>
        <v/>
      </c>
      <c r="Z19" s="3">
        <f>IF(M19="Y",IF(L19="Y",8,0)+IF(N19="Y",8,0)+IF(O19="Y",4,0),ROUND((IF(L19="Y",8,0)+IF(O19="Y",4,0))*20/12,1))</f>
        <v/>
      </c>
      <c r="AA19" s="3">
        <f>IF(P19="Y",8,IF(P19="Partial",4,0))+IF(Q19="Y",6,IF(Q19="Partial",3,0))+IF(R19="Y",6,0)</f>
        <v/>
      </c>
      <c r="AB19" s="3">
        <f>IF(S19="Y",5,0)+IF(T19="Y",5,0)+IF(U19&gt;=3,5,IF(U19&gt;=1,2,0))</f>
        <v/>
      </c>
      <c r="AC19" s="3">
        <f>IF(V19&gt;=2,8,IF(V19&gt;=1,5,0))+IF(W19="Y",4,0)+IF(X19="Y",3,0)</f>
        <v/>
      </c>
      <c r="AD19" s="3">
        <f>IF(A19="","",IF(OR(H19="Y",I19&lt;2),"",ROUND(Y19+Z19+AA19+AB19+AC19,0)))</f>
        <v/>
      </c>
      <c r="AE19" s="3">
        <f>IF(A19="","",IF(H19="Y","Not recommended: active recall",IF(I19&lt;2,"Not enough evidence yet","Scored")))</f>
        <v/>
      </c>
      <c r="AF19" s="3">
        <f>IF(AD19="","",IF(AD19&gt;=85,"Excellent",IF(AD19&gt;=70,"Good",IF(AD19&gt;=55,"Fair","Poor"))))</f>
        <v/>
      </c>
      <c r="AG19" s="3">
        <f>IF(AD19="","",IF(OR(G19="Y",I19&gt;=5),"High",IF(I19&gt;=3,"Medium","Low")))</f>
        <v/>
      </c>
    </row>
    <row r="20">
      <c r="Y20" s="3">
        <f>IF(I20&gt;=3,10,IF(I20=2,5,0))+IF(J20="Y",10,IF(J20="Partial",5,0))+IF(K20="Y",10,0)</f>
        <v/>
      </c>
      <c r="Z20" s="3">
        <f>IF(M20="Y",IF(L20="Y",8,0)+IF(N20="Y",8,0)+IF(O20="Y",4,0),ROUND((IF(L20="Y",8,0)+IF(O20="Y",4,0))*20/12,1))</f>
        <v/>
      </c>
      <c r="AA20" s="3">
        <f>IF(P20="Y",8,IF(P20="Partial",4,0))+IF(Q20="Y",6,IF(Q20="Partial",3,0))+IF(R20="Y",6,0)</f>
        <v/>
      </c>
      <c r="AB20" s="3">
        <f>IF(S20="Y",5,0)+IF(T20="Y",5,0)+IF(U20&gt;=3,5,IF(U20&gt;=1,2,0))</f>
        <v/>
      </c>
      <c r="AC20" s="3">
        <f>IF(V20&gt;=2,8,IF(V20&gt;=1,5,0))+IF(W20="Y",4,0)+IF(X20="Y",3,0)</f>
        <v/>
      </c>
      <c r="AD20" s="3">
        <f>IF(A20="","",IF(OR(H20="Y",I20&lt;2),"",ROUND(Y20+Z20+AA20+AB20+AC20,0)))</f>
        <v/>
      </c>
      <c r="AE20" s="3">
        <f>IF(A20="","",IF(H20="Y","Not recommended: active recall",IF(I20&lt;2,"Not enough evidence yet","Scored")))</f>
        <v/>
      </c>
      <c r="AF20" s="3">
        <f>IF(AD20="","",IF(AD20&gt;=85,"Excellent",IF(AD20&gt;=70,"Good",IF(AD20&gt;=55,"Fair","Poor"))))</f>
        <v/>
      </c>
      <c r="AG20" s="3">
        <f>IF(AD20="","",IF(OR(G20="Y",I20&gt;=5),"High",IF(I20&gt;=3,"Medium","Low")))</f>
        <v/>
      </c>
    </row>
    <row r="21">
      <c r="Y21" s="3">
        <f>IF(I21&gt;=3,10,IF(I21=2,5,0))+IF(J21="Y",10,IF(J21="Partial",5,0))+IF(K21="Y",10,0)</f>
        <v/>
      </c>
      <c r="Z21" s="3">
        <f>IF(M21="Y",IF(L21="Y",8,0)+IF(N21="Y",8,0)+IF(O21="Y",4,0),ROUND((IF(L21="Y",8,0)+IF(O21="Y",4,0))*20/12,1))</f>
        <v/>
      </c>
      <c r="AA21" s="3">
        <f>IF(P21="Y",8,IF(P21="Partial",4,0))+IF(Q21="Y",6,IF(Q21="Partial",3,0))+IF(R21="Y",6,0)</f>
        <v/>
      </c>
      <c r="AB21" s="3">
        <f>IF(S21="Y",5,0)+IF(T21="Y",5,0)+IF(U21&gt;=3,5,IF(U21&gt;=1,2,0))</f>
        <v/>
      </c>
      <c r="AC21" s="3">
        <f>IF(V21&gt;=2,8,IF(V21&gt;=1,5,0))+IF(W21="Y",4,0)+IF(X21="Y",3,0)</f>
        <v/>
      </c>
      <c r="AD21" s="3">
        <f>IF(A21="","",IF(OR(H21="Y",I21&lt;2),"",ROUND(Y21+Z21+AA21+AB21+AC21,0)))</f>
        <v/>
      </c>
      <c r="AE21" s="3">
        <f>IF(A21="","",IF(H21="Y","Not recommended: active recall",IF(I21&lt;2,"Not enough evidence yet","Scored")))</f>
        <v/>
      </c>
      <c r="AF21" s="3">
        <f>IF(AD21="","",IF(AD21&gt;=85,"Excellent",IF(AD21&gt;=70,"Good",IF(AD21&gt;=55,"Fair","Poor"))))</f>
        <v/>
      </c>
      <c r="AG21" s="3">
        <f>IF(AD21="","",IF(OR(G21="Y",I21&gt;=5),"High",IF(I21&gt;=3,"Medium","Low")))</f>
        <v/>
      </c>
    </row>
    <row r="22">
      <c r="Y22" s="3">
        <f>IF(I22&gt;=3,10,IF(I22=2,5,0))+IF(J22="Y",10,IF(J22="Partial",5,0))+IF(K22="Y",10,0)</f>
        <v/>
      </c>
      <c r="Z22" s="3">
        <f>IF(M22="Y",IF(L22="Y",8,0)+IF(N22="Y",8,0)+IF(O22="Y",4,0),ROUND((IF(L22="Y",8,0)+IF(O22="Y",4,0))*20/12,1))</f>
        <v/>
      </c>
      <c r="AA22" s="3">
        <f>IF(P22="Y",8,IF(P22="Partial",4,0))+IF(Q22="Y",6,IF(Q22="Partial",3,0))+IF(R22="Y",6,0)</f>
        <v/>
      </c>
      <c r="AB22" s="3">
        <f>IF(S22="Y",5,0)+IF(T22="Y",5,0)+IF(U22&gt;=3,5,IF(U22&gt;=1,2,0))</f>
        <v/>
      </c>
      <c r="AC22" s="3">
        <f>IF(V22&gt;=2,8,IF(V22&gt;=1,5,0))+IF(W22="Y",4,0)+IF(X22="Y",3,0)</f>
        <v/>
      </c>
      <c r="AD22" s="3">
        <f>IF(A22="","",IF(OR(H22="Y",I22&lt;2),"",ROUND(Y22+Z22+AA22+AB22+AC22,0)))</f>
        <v/>
      </c>
      <c r="AE22" s="3">
        <f>IF(A22="","",IF(H22="Y","Not recommended: active recall",IF(I22&lt;2,"Not enough evidence yet","Scored")))</f>
        <v/>
      </c>
      <c r="AF22" s="3">
        <f>IF(AD22="","",IF(AD22&gt;=85,"Excellent",IF(AD22&gt;=70,"Good",IF(AD22&gt;=55,"Fair","Poor"))))</f>
        <v/>
      </c>
      <c r="AG22" s="3">
        <f>IF(AD22="","",IF(OR(G22="Y",I22&gt;=5),"High",IF(I22&gt;=3,"Medium","Low")))</f>
        <v/>
      </c>
    </row>
    <row r="23">
      <c r="Y23" s="3">
        <f>IF(I23&gt;=3,10,IF(I23=2,5,0))+IF(J23="Y",10,IF(J23="Partial",5,0))+IF(K23="Y",10,0)</f>
        <v/>
      </c>
      <c r="Z23" s="3">
        <f>IF(M23="Y",IF(L23="Y",8,0)+IF(N23="Y",8,0)+IF(O23="Y",4,0),ROUND((IF(L23="Y",8,0)+IF(O23="Y",4,0))*20/12,1))</f>
        <v/>
      </c>
      <c r="AA23" s="3">
        <f>IF(P23="Y",8,IF(P23="Partial",4,0))+IF(Q23="Y",6,IF(Q23="Partial",3,0))+IF(R23="Y",6,0)</f>
        <v/>
      </c>
      <c r="AB23" s="3">
        <f>IF(S23="Y",5,0)+IF(T23="Y",5,0)+IF(U23&gt;=3,5,IF(U23&gt;=1,2,0))</f>
        <v/>
      </c>
      <c r="AC23" s="3">
        <f>IF(V23&gt;=2,8,IF(V23&gt;=1,5,0))+IF(W23="Y",4,0)+IF(X23="Y",3,0)</f>
        <v/>
      </c>
      <c r="AD23" s="3">
        <f>IF(A23="","",IF(OR(H23="Y",I23&lt;2),"",ROUND(Y23+Z23+AA23+AB23+AC23,0)))</f>
        <v/>
      </c>
      <c r="AE23" s="3">
        <f>IF(A23="","",IF(H23="Y","Not recommended: active recall",IF(I23&lt;2,"Not enough evidence yet","Scored")))</f>
        <v/>
      </c>
      <c r="AF23" s="3">
        <f>IF(AD23="","",IF(AD23&gt;=85,"Excellent",IF(AD23&gt;=70,"Good",IF(AD23&gt;=55,"Fair","Poor"))))</f>
        <v/>
      </c>
      <c r="AG23" s="3">
        <f>IF(AD23="","",IF(OR(G23="Y",I23&gt;=5),"High",IF(I23&gt;=3,"Medium","Low")))</f>
        <v/>
      </c>
    </row>
    <row r="24">
      <c r="Y24" s="3">
        <f>IF(I24&gt;=3,10,IF(I24=2,5,0))+IF(J24="Y",10,IF(J24="Partial",5,0))+IF(K24="Y",10,0)</f>
        <v/>
      </c>
      <c r="Z24" s="3">
        <f>IF(M24="Y",IF(L24="Y",8,0)+IF(N24="Y",8,0)+IF(O24="Y",4,0),ROUND((IF(L24="Y",8,0)+IF(O24="Y",4,0))*20/12,1))</f>
        <v/>
      </c>
      <c r="AA24" s="3">
        <f>IF(P24="Y",8,IF(P24="Partial",4,0))+IF(Q24="Y",6,IF(Q24="Partial",3,0))+IF(R24="Y",6,0)</f>
        <v/>
      </c>
      <c r="AB24" s="3">
        <f>IF(S24="Y",5,0)+IF(T24="Y",5,0)+IF(U24&gt;=3,5,IF(U24&gt;=1,2,0))</f>
        <v/>
      </c>
      <c r="AC24" s="3">
        <f>IF(V24&gt;=2,8,IF(V24&gt;=1,5,0))+IF(W24="Y",4,0)+IF(X24="Y",3,0)</f>
        <v/>
      </c>
      <c r="AD24" s="3">
        <f>IF(A24="","",IF(OR(H24="Y",I24&lt;2),"",ROUND(Y24+Z24+AA24+AB24+AC24,0)))</f>
        <v/>
      </c>
      <c r="AE24" s="3">
        <f>IF(A24="","",IF(H24="Y","Not recommended: active recall",IF(I24&lt;2,"Not enough evidence yet","Scored")))</f>
        <v/>
      </c>
      <c r="AF24" s="3">
        <f>IF(AD24="","",IF(AD24&gt;=85,"Excellent",IF(AD24&gt;=70,"Good",IF(AD24&gt;=55,"Fair","Poor"))))</f>
        <v/>
      </c>
      <c r="AG24" s="3">
        <f>IF(AD24="","",IF(OR(G24="Y",I24&gt;=5),"High",IF(I24&gt;=3,"Medium","Low")))</f>
        <v/>
      </c>
    </row>
    <row r="25">
      <c r="Y25" s="3">
        <f>IF(I25&gt;=3,10,IF(I25=2,5,0))+IF(J25="Y",10,IF(J25="Partial",5,0))+IF(K25="Y",10,0)</f>
        <v/>
      </c>
      <c r="Z25" s="3">
        <f>IF(M25="Y",IF(L25="Y",8,0)+IF(N25="Y",8,0)+IF(O25="Y",4,0),ROUND((IF(L25="Y",8,0)+IF(O25="Y",4,0))*20/12,1))</f>
        <v/>
      </c>
      <c r="AA25" s="3">
        <f>IF(P25="Y",8,IF(P25="Partial",4,0))+IF(Q25="Y",6,IF(Q25="Partial",3,0))+IF(R25="Y",6,0)</f>
        <v/>
      </c>
      <c r="AB25" s="3">
        <f>IF(S25="Y",5,0)+IF(T25="Y",5,0)+IF(U25&gt;=3,5,IF(U25&gt;=1,2,0))</f>
        <v/>
      </c>
      <c r="AC25" s="3">
        <f>IF(V25&gt;=2,8,IF(V25&gt;=1,5,0))+IF(W25="Y",4,0)+IF(X25="Y",3,0)</f>
        <v/>
      </c>
      <c r="AD25" s="3">
        <f>IF(A25="","",IF(OR(H25="Y",I25&lt;2),"",ROUND(Y25+Z25+AA25+AB25+AC25,0)))</f>
        <v/>
      </c>
      <c r="AE25" s="3">
        <f>IF(A25="","",IF(H25="Y","Not recommended: active recall",IF(I25&lt;2,"Not enough evidence yet","Scored")))</f>
        <v/>
      </c>
      <c r="AF25" s="3">
        <f>IF(AD25="","",IF(AD25&gt;=85,"Excellent",IF(AD25&gt;=70,"Good",IF(AD25&gt;=55,"Fair","Poor"))))</f>
        <v/>
      </c>
      <c r="AG25" s="3">
        <f>IF(AD25="","",IF(OR(G25="Y",I25&gt;=5),"High",IF(I25&gt;=3,"Medium","Low")))</f>
        <v/>
      </c>
    </row>
    <row r="26">
      <c r="Y26" s="3">
        <f>IF(I26&gt;=3,10,IF(I26=2,5,0))+IF(J26="Y",10,IF(J26="Partial",5,0))+IF(K26="Y",10,0)</f>
        <v/>
      </c>
      <c r="Z26" s="3">
        <f>IF(M26="Y",IF(L26="Y",8,0)+IF(N26="Y",8,0)+IF(O26="Y",4,0),ROUND((IF(L26="Y",8,0)+IF(O26="Y",4,0))*20/12,1))</f>
        <v/>
      </c>
      <c r="AA26" s="3">
        <f>IF(P26="Y",8,IF(P26="Partial",4,0))+IF(Q26="Y",6,IF(Q26="Partial",3,0))+IF(R26="Y",6,0)</f>
        <v/>
      </c>
      <c r="AB26" s="3">
        <f>IF(S26="Y",5,0)+IF(T26="Y",5,0)+IF(U26&gt;=3,5,IF(U26&gt;=1,2,0))</f>
        <v/>
      </c>
      <c r="AC26" s="3">
        <f>IF(V26&gt;=2,8,IF(V26&gt;=1,5,0))+IF(W26="Y",4,0)+IF(X26="Y",3,0)</f>
        <v/>
      </c>
      <c r="AD26" s="3">
        <f>IF(A26="","",IF(OR(H26="Y",I26&lt;2),"",ROUND(Y26+Z26+AA26+AB26+AC26,0)))</f>
        <v/>
      </c>
      <c r="AE26" s="3">
        <f>IF(A26="","",IF(H26="Y","Not recommended: active recall",IF(I26&lt;2,"Not enough evidence yet","Scored")))</f>
        <v/>
      </c>
      <c r="AF26" s="3">
        <f>IF(AD26="","",IF(AD26&gt;=85,"Excellent",IF(AD26&gt;=70,"Good",IF(AD26&gt;=55,"Fair","Poor"))))</f>
        <v/>
      </c>
      <c r="AG26" s="3">
        <f>IF(AD26="","",IF(OR(G26="Y",I26&gt;=5),"High",IF(I26&gt;=3,"Medium","Low")))</f>
        <v/>
      </c>
    </row>
    <row r="27">
      <c r="Y27" s="3">
        <f>IF(I27&gt;=3,10,IF(I27=2,5,0))+IF(J27="Y",10,IF(J27="Partial",5,0))+IF(K27="Y",10,0)</f>
        <v/>
      </c>
      <c r="Z27" s="3">
        <f>IF(M27="Y",IF(L27="Y",8,0)+IF(N27="Y",8,0)+IF(O27="Y",4,0),ROUND((IF(L27="Y",8,0)+IF(O27="Y",4,0))*20/12,1))</f>
        <v/>
      </c>
      <c r="AA27" s="3">
        <f>IF(P27="Y",8,IF(P27="Partial",4,0))+IF(Q27="Y",6,IF(Q27="Partial",3,0))+IF(R27="Y",6,0)</f>
        <v/>
      </c>
      <c r="AB27" s="3">
        <f>IF(S27="Y",5,0)+IF(T27="Y",5,0)+IF(U27&gt;=3,5,IF(U27&gt;=1,2,0))</f>
        <v/>
      </c>
      <c r="AC27" s="3">
        <f>IF(V27&gt;=2,8,IF(V27&gt;=1,5,0))+IF(W27="Y",4,0)+IF(X27="Y",3,0)</f>
        <v/>
      </c>
      <c r="AD27" s="3">
        <f>IF(A27="","",IF(OR(H27="Y",I27&lt;2),"",ROUND(Y27+Z27+AA27+AB27+AC27,0)))</f>
        <v/>
      </c>
      <c r="AE27" s="3">
        <f>IF(A27="","",IF(H27="Y","Not recommended: active recall",IF(I27&lt;2,"Not enough evidence yet","Scored")))</f>
        <v/>
      </c>
      <c r="AF27" s="3">
        <f>IF(AD27="","",IF(AD27&gt;=85,"Excellent",IF(AD27&gt;=70,"Good",IF(AD27&gt;=55,"Fair","Poor"))))</f>
        <v/>
      </c>
      <c r="AG27" s="3">
        <f>IF(AD27="","",IF(OR(G27="Y",I27&gt;=5),"High",IF(I27&gt;=3,"Medium","Low")))</f>
        <v/>
      </c>
    </row>
    <row r="28">
      <c r="Y28" s="3">
        <f>IF(I28&gt;=3,10,IF(I28=2,5,0))+IF(J28="Y",10,IF(J28="Partial",5,0))+IF(K28="Y",10,0)</f>
        <v/>
      </c>
      <c r="Z28" s="3">
        <f>IF(M28="Y",IF(L28="Y",8,0)+IF(N28="Y",8,0)+IF(O28="Y",4,0),ROUND((IF(L28="Y",8,0)+IF(O28="Y",4,0))*20/12,1))</f>
        <v/>
      </c>
      <c r="AA28" s="3">
        <f>IF(P28="Y",8,IF(P28="Partial",4,0))+IF(Q28="Y",6,IF(Q28="Partial",3,0))+IF(R28="Y",6,0)</f>
        <v/>
      </c>
      <c r="AB28" s="3">
        <f>IF(S28="Y",5,0)+IF(T28="Y",5,0)+IF(U28&gt;=3,5,IF(U28&gt;=1,2,0))</f>
        <v/>
      </c>
      <c r="AC28" s="3">
        <f>IF(V28&gt;=2,8,IF(V28&gt;=1,5,0))+IF(W28="Y",4,0)+IF(X28="Y",3,0)</f>
        <v/>
      </c>
      <c r="AD28" s="3">
        <f>IF(A28="","",IF(OR(H28="Y",I28&lt;2),"",ROUND(Y28+Z28+AA28+AB28+AC28,0)))</f>
        <v/>
      </c>
      <c r="AE28" s="3">
        <f>IF(A28="","",IF(H28="Y","Not recommended: active recall",IF(I28&lt;2,"Not enough evidence yet","Scored")))</f>
        <v/>
      </c>
      <c r="AF28" s="3">
        <f>IF(AD28="","",IF(AD28&gt;=85,"Excellent",IF(AD28&gt;=70,"Good",IF(AD28&gt;=55,"Fair","Poor"))))</f>
        <v/>
      </c>
      <c r="AG28" s="3">
        <f>IF(AD28="","",IF(OR(G28="Y",I28&gt;=5),"High",IF(I28&gt;=3,"Medium","Low")))</f>
        <v/>
      </c>
    </row>
    <row r="29">
      <c r="Y29" s="3">
        <f>IF(I29&gt;=3,10,IF(I29=2,5,0))+IF(J29="Y",10,IF(J29="Partial",5,0))+IF(K29="Y",10,0)</f>
        <v/>
      </c>
      <c r="Z29" s="3">
        <f>IF(M29="Y",IF(L29="Y",8,0)+IF(N29="Y",8,0)+IF(O29="Y",4,0),ROUND((IF(L29="Y",8,0)+IF(O29="Y",4,0))*20/12,1))</f>
        <v/>
      </c>
      <c r="AA29" s="3">
        <f>IF(P29="Y",8,IF(P29="Partial",4,0))+IF(Q29="Y",6,IF(Q29="Partial",3,0))+IF(R29="Y",6,0)</f>
        <v/>
      </c>
      <c r="AB29" s="3">
        <f>IF(S29="Y",5,0)+IF(T29="Y",5,0)+IF(U29&gt;=3,5,IF(U29&gt;=1,2,0))</f>
        <v/>
      </c>
      <c r="AC29" s="3">
        <f>IF(V29&gt;=2,8,IF(V29&gt;=1,5,0))+IF(W29="Y",4,0)+IF(X29="Y",3,0)</f>
        <v/>
      </c>
      <c r="AD29" s="3">
        <f>IF(A29="","",IF(OR(H29="Y",I29&lt;2),"",ROUND(Y29+Z29+AA29+AB29+AC29,0)))</f>
        <v/>
      </c>
      <c r="AE29" s="3">
        <f>IF(A29="","",IF(H29="Y","Not recommended: active recall",IF(I29&lt;2,"Not enough evidence yet","Scored")))</f>
        <v/>
      </c>
      <c r="AF29" s="3">
        <f>IF(AD29="","",IF(AD29&gt;=85,"Excellent",IF(AD29&gt;=70,"Good",IF(AD29&gt;=55,"Fair","Poor"))))</f>
        <v/>
      </c>
      <c r="AG29" s="3">
        <f>IF(AD29="","",IF(OR(G29="Y",I29&gt;=5),"High",IF(I29&gt;=3,"Medium","Low")))</f>
        <v/>
      </c>
    </row>
    <row r="30">
      <c r="Y30" s="3">
        <f>IF(I30&gt;=3,10,IF(I30=2,5,0))+IF(J30="Y",10,IF(J30="Partial",5,0))+IF(K30="Y",10,0)</f>
        <v/>
      </c>
      <c r="Z30" s="3">
        <f>IF(M30="Y",IF(L30="Y",8,0)+IF(N30="Y",8,0)+IF(O30="Y",4,0),ROUND((IF(L30="Y",8,0)+IF(O30="Y",4,0))*20/12,1))</f>
        <v/>
      </c>
      <c r="AA30" s="3">
        <f>IF(P30="Y",8,IF(P30="Partial",4,0))+IF(Q30="Y",6,IF(Q30="Partial",3,0))+IF(R30="Y",6,0)</f>
        <v/>
      </c>
      <c r="AB30" s="3">
        <f>IF(S30="Y",5,0)+IF(T30="Y",5,0)+IF(U30&gt;=3,5,IF(U30&gt;=1,2,0))</f>
        <v/>
      </c>
      <c r="AC30" s="3">
        <f>IF(V30&gt;=2,8,IF(V30&gt;=1,5,0))+IF(W30="Y",4,0)+IF(X30="Y",3,0)</f>
        <v/>
      </c>
      <c r="AD30" s="3">
        <f>IF(A30="","",IF(OR(H30="Y",I30&lt;2),"",ROUND(Y30+Z30+AA30+AB30+AC30,0)))</f>
        <v/>
      </c>
      <c r="AE30" s="3">
        <f>IF(A30="","",IF(H30="Y","Not recommended: active recall",IF(I30&lt;2,"Not enough evidence yet","Scored")))</f>
        <v/>
      </c>
      <c r="AF30" s="3">
        <f>IF(AD30="","",IF(AD30&gt;=85,"Excellent",IF(AD30&gt;=70,"Good",IF(AD30&gt;=55,"Fair","Poor"))))</f>
        <v/>
      </c>
      <c r="AG30" s="3">
        <f>IF(AD30="","",IF(OR(G30="Y",I30&gt;=5),"High",IF(I30&gt;=3,"Medium","Low")))</f>
        <v/>
      </c>
    </row>
    <row r="31">
      <c r="Y31" s="3">
        <f>IF(I31&gt;=3,10,IF(I31=2,5,0))+IF(J31="Y",10,IF(J31="Partial",5,0))+IF(K31="Y",10,0)</f>
        <v/>
      </c>
      <c r="Z31" s="3">
        <f>IF(M31="Y",IF(L31="Y",8,0)+IF(N31="Y",8,0)+IF(O31="Y",4,0),ROUND((IF(L31="Y",8,0)+IF(O31="Y",4,0))*20/12,1))</f>
        <v/>
      </c>
      <c r="AA31" s="3">
        <f>IF(P31="Y",8,IF(P31="Partial",4,0))+IF(Q31="Y",6,IF(Q31="Partial",3,0))+IF(R31="Y",6,0)</f>
        <v/>
      </c>
      <c r="AB31" s="3">
        <f>IF(S31="Y",5,0)+IF(T31="Y",5,0)+IF(U31&gt;=3,5,IF(U31&gt;=1,2,0))</f>
        <v/>
      </c>
      <c r="AC31" s="3">
        <f>IF(V31&gt;=2,8,IF(V31&gt;=1,5,0))+IF(W31="Y",4,0)+IF(X31="Y",3,0)</f>
        <v/>
      </c>
      <c r="AD31" s="3">
        <f>IF(A31="","",IF(OR(H31="Y",I31&lt;2),"",ROUND(Y31+Z31+AA31+AB31+AC31,0)))</f>
        <v/>
      </c>
      <c r="AE31" s="3">
        <f>IF(A31="","",IF(H31="Y","Not recommended: active recall",IF(I31&lt;2,"Not enough evidence yet","Scored")))</f>
        <v/>
      </c>
      <c r="AF31" s="3">
        <f>IF(AD31="","",IF(AD31&gt;=85,"Excellent",IF(AD31&gt;=70,"Good",IF(AD31&gt;=55,"Fair","Poor"))))</f>
        <v/>
      </c>
      <c r="AG31" s="3">
        <f>IF(AD31="","",IF(OR(G31="Y",I31&gt;=5),"High",IF(I31&gt;=3,"Medium","Low")))</f>
        <v/>
      </c>
    </row>
    <row r="32">
      <c r="Y32" s="3">
        <f>IF(I32&gt;=3,10,IF(I32=2,5,0))+IF(J32="Y",10,IF(J32="Partial",5,0))+IF(K32="Y",10,0)</f>
        <v/>
      </c>
      <c r="Z32" s="3">
        <f>IF(M32="Y",IF(L32="Y",8,0)+IF(N32="Y",8,0)+IF(O32="Y",4,0),ROUND((IF(L32="Y",8,0)+IF(O32="Y",4,0))*20/12,1))</f>
        <v/>
      </c>
      <c r="AA32" s="3">
        <f>IF(P32="Y",8,IF(P32="Partial",4,0))+IF(Q32="Y",6,IF(Q32="Partial",3,0))+IF(R32="Y",6,0)</f>
        <v/>
      </c>
      <c r="AB32" s="3">
        <f>IF(S32="Y",5,0)+IF(T32="Y",5,0)+IF(U32&gt;=3,5,IF(U32&gt;=1,2,0))</f>
        <v/>
      </c>
      <c r="AC32" s="3">
        <f>IF(V32&gt;=2,8,IF(V32&gt;=1,5,0))+IF(W32="Y",4,0)+IF(X32="Y",3,0)</f>
        <v/>
      </c>
      <c r="AD32" s="3">
        <f>IF(A32="","",IF(OR(H32="Y",I32&lt;2),"",ROUND(Y32+Z32+AA32+AB32+AC32,0)))</f>
        <v/>
      </c>
      <c r="AE32" s="3">
        <f>IF(A32="","",IF(H32="Y","Not recommended: active recall",IF(I32&lt;2,"Not enough evidence yet","Scored")))</f>
        <v/>
      </c>
      <c r="AF32" s="3">
        <f>IF(AD32="","",IF(AD32&gt;=85,"Excellent",IF(AD32&gt;=70,"Good",IF(AD32&gt;=55,"Fair","Poor"))))</f>
        <v/>
      </c>
      <c r="AG32" s="3">
        <f>IF(AD32="","",IF(OR(G32="Y",I32&gt;=5),"High",IF(I32&gt;=3,"Medium","Low")))</f>
        <v/>
      </c>
    </row>
    <row r="33">
      <c r="Y33" s="3">
        <f>IF(I33&gt;=3,10,IF(I33=2,5,0))+IF(J33="Y",10,IF(J33="Partial",5,0))+IF(K33="Y",10,0)</f>
        <v/>
      </c>
      <c r="Z33" s="3">
        <f>IF(M33="Y",IF(L33="Y",8,0)+IF(N33="Y",8,0)+IF(O33="Y",4,0),ROUND((IF(L33="Y",8,0)+IF(O33="Y",4,0))*20/12,1))</f>
        <v/>
      </c>
      <c r="AA33" s="3">
        <f>IF(P33="Y",8,IF(P33="Partial",4,0))+IF(Q33="Y",6,IF(Q33="Partial",3,0))+IF(R33="Y",6,0)</f>
        <v/>
      </c>
      <c r="AB33" s="3">
        <f>IF(S33="Y",5,0)+IF(T33="Y",5,0)+IF(U33&gt;=3,5,IF(U33&gt;=1,2,0))</f>
        <v/>
      </c>
      <c r="AC33" s="3">
        <f>IF(V33&gt;=2,8,IF(V33&gt;=1,5,0))+IF(W33="Y",4,0)+IF(X33="Y",3,0)</f>
        <v/>
      </c>
      <c r="AD33" s="3">
        <f>IF(A33="","",IF(OR(H33="Y",I33&lt;2),"",ROUND(Y33+Z33+AA33+AB33+AC33,0)))</f>
        <v/>
      </c>
      <c r="AE33" s="3">
        <f>IF(A33="","",IF(H33="Y","Not recommended: active recall",IF(I33&lt;2,"Not enough evidence yet","Scored")))</f>
        <v/>
      </c>
      <c r="AF33" s="3">
        <f>IF(AD33="","",IF(AD33&gt;=85,"Excellent",IF(AD33&gt;=70,"Good",IF(AD33&gt;=55,"Fair","Poor"))))</f>
        <v/>
      </c>
      <c r="AG33" s="3">
        <f>IF(AD33="","",IF(OR(G33="Y",I33&gt;=5),"High",IF(I33&gt;=3,"Medium","Low")))</f>
        <v/>
      </c>
    </row>
    <row r="34">
      <c r="Y34" s="3">
        <f>IF(I34&gt;=3,10,IF(I34=2,5,0))+IF(J34="Y",10,IF(J34="Partial",5,0))+IF(K34="Y",10,0)</f>
        <v/>
      </c>
      <c r="Z34" s="3">
        <f>IF(M34="Y",IF(L34="Y",8,0)+IF(N34="Y",8,0)+IF(O34="Y",4,0),ROUND((IF(L34="Y",8,0)+IF(O34="Y",4,0))*20/12,1))</f>
        <v/>
      </c>
      <c r="AA34" s="3">
        <f>IF(P34="Y",8,IF(P34="Partial",4,0))+IF(Q34="Y",6,IF(Q34="Partial",3,0))+IF(R34="Y",6,0)</f>
        <v/>
      </c>
      <c r="AB34" s="3">
        <f>IF(S34="Y",5,0)+IF(T34="Y",5,0)+IF(U34&gt;=3,5,IF(U34&gt;=1,2,0))</f>
        <v/>
      </c>
      <c r="AC34" s="3">
        <f>IF(V34&gt;=2,8,IF(V34&gt;=1,5,0))+IF(W34="Y",4,0)+IF(X34="Y",3,0)</f>
        <v/>
      </c>
      <c r="AD34" s="3">
        <f>IF(A34="","",IF(OR(H34="Y",I34&lt;2),"",ROUND(Y34+Z34+AA34+AB34+AC34,0)))</f>
        <v/>
      </c>
      <c r="AE34" s="3">
        <f>IF(A34="","",IF(H34="Y","Not recommended: active recall",IF(I34&lt;2,"Not enough evidence yet","Scored")))</f>
        <v/>
      </c>
      <c r="AF34" s="3">
        <f>IF(AD34="","",IF(AD34&gt;=85,"Excellent",IF(AD34&gt;=70,"Good",IF(AD34&gt;=55,"Fair","Poor"))))</f>
        <v/>
      </c>
      <c r="AG34" s="3">
        <f>IF(AD34="","",IF(OR(G34="Y",I34&gt;=5),"High",IF(I34&gt;=3,"Medium","Low")))</f>
        <v/>
      </c>
    </row>
    <row r="35">
      <c r="Y35" s="3">
        <f>IF(I35&gt;=3,10,IF(I35=2,5,0))+IF(J35="Y",10,IF(J35="Partial",5,0))+IF(K35="Y",10,0)</f>
        <v/>
      </c>
      <c r="Z35" s="3">
        <f>IF(M35="Y",IF(L35="Y",8,0)+IF(N35="Y",8,0)+IF(O35="Y",4,0),ROUND((IF(L35="Y",8,0)+IF(O35="Y",4,0))*20/12,1))</f>
        <v/>
      </c>
      <c r="AA35" s="3">
        <f>IF(P35="Y",8,IF(P35="Partial",4,0))+IF(Q35="Y",6,IF(Q35="Partial",3,0))+IF(R35="Y",6,0)</f>
        <v/>
      </c>
      <c r="AB35" s="3">
        <f>IF(S35="Y",5,0)+IF(T35="Y",5,0)+IF(U35&gt;=3,5,IF(U35&gt;=1,2,0))</f>
        <v/>
      </c>
      <c r="AC35" s="3">
        <f>IF(V35&gt;=2,8,IF(V35&gt;=1,5,0))+IF(W35="Y",4,0)+IF(X35="Y",3,0)</f>
        <v/>
      </c>
      <c r="AD35" s="3">
        <f>IF(A35="","",IF(OR(H35="Y",I35&lt;2),"",ROUND(Y35+Z35+AA35+AB35+AC35,0)))</f>
        <v/>
      </c>
      <c r="AE35" s="3">
        <f>IF(A35="","",IF(H35="Y","Not recommended: active recall",IF(I35&lt;2,"Not enough evidence yet","Scored")))</f>
        <v/>
      </c>
      <c r="AF35" s="3">
        <f>IF(AD35="","",IF(AD35&gt;=85,"Excellent",IF(AD35&gt;=70,"Good",IF(AD35&gt;=55,"Fair","Poor"))))</f>
        <v/>
      </c>
      <c r="AG35" s="3">
        <f>IF(AD35="","",IF(OR(G35="Y",I35&gt;=5),"High",IF(I35&gt;=3,"Medium","Low")))</f>
        <v/>
      </c>
    </row>
    <row r="36">
      <c r="Y36" s="3">
        <f>IF(I36&gt;=3,10,IF(I36=2,5,0))+IF(J36="Y",10,IF(J36="Partial",5,0))+IF(K36="Y",10,0)</f>
        <v/>
      </c>
      <c r="Z36" s="3">
        <f>IF(M36="Y",IF(L36="Y",8,0)+IF(N36="Y",8,0)+IF(O36="Y",4,0),ROUND((IF(L36="Y",8,0)+IF(O36="Y",4,0))*20/12,1))</f>
        <v/>
      </c>
      <c r="AA36" s="3">
        <f>IF(P36="Y",8,IF(P36="Partial",4,0))+IF(Q36="Y",6,IF(Q36="Partial",3,0))+IF(R36="Y",6,0)</f>
        <v/>
      </c>
      <c r="AB36" s="3">
        <f>IF(S36="Y",5,0)+IF(T36="Y",5,0)+IF(U36&gt;=3,5,IF(U36&gt;=1,2,0))</f>
        <v/>
      </c>
      <c r="AC36" s="3">
        <f>IF(V36&gt;=2,8,IF(V36&gt;=1,5,0))+IF(W36="Y",4,0)+IF(X36="Y",3,0)</f>
        <v/>
      </c>
      <c r="AD36" s="3">
        <f>IF(A36="","",IF(OR(H36="Y",I36&lt;2),"",ROUND(Y36+Z36+AA36+AB36+AC36,0)))</f>
        <v/>
      </c>
      <c r="AE36" s="3">
        <f>IF(A36="","",IF(H36="Y","Not recommended: active recall",IF(I36&lt;2,"Not enough evidence yet","Scored")))</f>
        <v/>
      </c>
      <c r="AF36" s="3">
        <f>IF(AD36="","",IF(AD36&gt;=85,"Excellent",IF(AD36&gt;=70,"Good",IF(AD36&gt;=55,"Fair","Poor"))))</f>
        <v/>
      </c>
      <c r="AG36" s="3">
        <f>IF(AD36="","",IF(OR(G36="Y",I36&gt;=5),"High",IF(I36&gt;=3,"Medium","Low")))</f>
        <v/>
      </c>
    </row>
    <row r="37">
      <c r="Y37" s="3">
        <f>IF(I37&gt;=3,10,IF(I37=2,5,0))+IF(J37="Y",10,IF(J37="Partial",5,0))+IF(K37="Y",10,0)</f>
        <v/>
      </c>
      <c r="Z37" s="3">
        <f>IF(M37="Y",IF(L37="Y",8,0)+IF(N37="Y",8,0)+IF(O37="Y",4,0),ROUND((IF(L37="Y",8,0)+IF(O37="Y",4,0))*20/12,1))</f>
        <v/>
      </c>
      <c r="AA37" s="3">
        <f>IF(P37="Y",8,IF(P37="Partial",4,0))+IF(Q37="Y",6,IF(Q37="Partial",3,0))+IF(R37="Y",6,0)</f>
        <v/>
      </c>
      <c r="AB37" s="3">
        <f>IF(S37="Y",5,0)+IF(T37="Y",5,0)+IF(U37&gt;=3,5,IF(U37&gt;=1,2,0))</f>
        <v/>
      </c>
      <c r="AC37" s="3">
        <f>IF(V37&gt;=2,8,IF(V37&gt;=1,5,0))+IF(W37="Y",4,0)+IF(X37="Y",3,0)</f>
        <v/>
      </c>
      <c r="AD37" s="3">
        <f>IF(A37="","",IF(OR(H37="Y",I37&lt;2),"",ROUND(Y37+Z37+AA37+AB37+AC37,0)))</f>
        <v/>
      </c>
      <c r="AE37" s="3">
        <f>IF(A37="","",IF(H37="Y","Not recommended: active recall",IF(I37&lt;2,"Not enough evidence yet","Scored")))</f>
        <v/>
      </c>
      <c r="AF37" s="3">
        <f>IF(AD37="","",IF(AD37&gt;=85,"Excellent",IF(AD37&gt;=70,"Good",IF(AD37&gt;=55,"Fair","Poor"))))</f>
        <v/>
      </c>
      <c r="AG37" s="3">
        <f>IF(AD37="","",IF(OR(G37="Y",I37&gt;=5),"High",IF(I37&gt;=3,"Medium","Low")))</f>
        <v/>
      </c>
    </row>
    <row r="38">
      <c r="Y38" s="3">
        <f>IF(I38&gt;=3,10,IF(I38=2,5,0))+IF(J38="Y",10,IF(J38="Partial",5,0))+IF(K38="Y",10,0)</f>
        <v/>
      </c>
      <c r="Z38" s="3">
        <f>IF(M38="Y",IF(L38="Y",8,0)+IF(N38="Y",8,0)+IF(O38="Y",4,0),ROUND((IF(L38="Y",8,0)+IF(O38="Y",4,0))*20/12,1))</f>
        <v/>
      </c>
      <c r="AA38" s="3">
        <f>IF(P38="Y",8,IF(P38="Partial",4,0))+IF(Q38="Y",6,IF(Q38="Partial",3,0))+IF(R38="Y",6,0)</f>
        <v/>
      </c>
      <c r="AB38" s="3">
        <f>IF(S38="Y",5,0)+IF(T38="Y",5,0)+IF(U38&gt;=3,5,IF(U38&gt;=1,2,0))</f>
        <v/>
      </c>
      <c r="AC38" s="3">
        <f>IF(V38&gt;=2,8,IF(V38&gt;=1,5,0))+IF(W38="Y",4,0)+IF(X38="Y",3,0)</f>
        <v/>
      </c>
      <c r="AD38" s="3">
        <f>IF(A38="","",IF(OR(H38="Y",I38&lt;2),"",ROUND(Y38+Z38+AA38+AB38+AC38,0)))</f>
        <v/>
      </c>
      <c r="AE38" s="3">
        <f>IF(A38="","",IF(H38="Y","Not recommended: active recall",IF(I38&lt;2,"Not enough evidence yet","Scored")))</f>
        <v/>
      </c>
      <c r="AF38" s="3">
        <f>IF(AD38="","",IF(AD38&gt;=85,"Excellent",IF(AD38&gt;=70,"Good",IF(AD38&gt;=55,"Fair","Poor"))))</f>
        <v/>
      </c>
      <c r="AG38" s="3">
        <f>IF(AD38="","",IF(OR(G38="Y",I38&gt;=5),"High",IF(I38&gt;=3,"Medium","Low")))</f>
        <v/>
      </c>
    </row>
    <row r="39">
      <c r="Y39" s="3">
        <f>IF(I39&gt;=3,10,IF(I39=2,5,0))+IF(J39="Y",10,IF(J39="Partial",5,0))+IF(K39="Y",10,0)</f>
        <v/>
      </c>
      <c r="Z39" s="3">
        <f>IF(M39="Y",IF(L39="Y",8,0)+IF(N39="Y",8,0)+IF(O39="Y",4,0),ROUND((IF(L39="Y",8,0)+IF(O39="Y",4,0))*20/12,1))</f>
        <v/>
      </c>
      <c r="AA39" s="3">
        <f>IF(P39="Y",8,IF(P39="Partial",4,0))+IF(Q39="Y",6,IF(Q39="Partial",3,0))+IF(R39="Y",6,0)</f>
        <v/>
      </c>
      <c r="AB39" s="3">
        <f>IF(S39="Y",5,0)+IF(T39="Y",5,0)+IF(U39&gt;=3,5,IF(U39&gt;=1,2,0))</f>
        <v/>
      </c>
      <c r="AC39" s="3">
        <f>IF(V39&gt;=2,8,IF(V39&gt;=1,5,0))+IF(W39="Y",4,0)+IF(X39="Y",3,0)</f>
        <v/>
      </c>
      <c r="AD39" s="3">
        <f>IF(A39="","",IF(OR(H39="Y",I39&lt;2),"",ROUND(Y39+Z39+AA39+AB39+AC39,0)))</f>
        <v/>
      </c>
      <c r="AE39" s="3">
        <f>IF(A39="","",IF(H39="Y","Not recommended: active recall",IF(I39&lt;2,"Not enough evidence yet","Scored")))</f>
        <v/>
      </c>
      <c r="AF39" s="3">
        <f>IF(AD39="","",IF(AD39&gt;=85,"Excellent",IF(AD39&gt;=70,"Good",IF(AD39&gt;=55,"Fair","Poor"))))</f>
        <v/>
      </c>
      <c r="AG39" s="3">
        <f>IF(AD39="","",IF(OR(G39="Y",I39&gt;=5),"High",IF(I39&gt;=3,"Medium","Low")))</f>
        <v/>
      </c>
    </row>
    <row r="40">
      <c r="Y40" s="3">
        <f>IF(I40&gt;=3,10,IF(I40=2,5,0))+IF(J40="Y",10,IF(J40="Partial",5,0))+IF(K40="Y",10,0)</f>
        <v/>
      </c>
      <c r="Z40" s="3">
        <f>IF(M40="Y",IF(L40="Y",8,0)+IF(N40="Y",8,0)+IF(O40="Y",4,0),ROUND((IF(L40="Y",8,0)+IF(O40="Y",4,0))*20/12,1))</f>
        <v/>
      </c>
      <c r="AA40" s="3">
        <f>IF(P40="Y",8,IF(P40="Partial",4,0))+IF(Q40="Y",6,IF(Q40="Partial",3,0))+IF(R40="Y",6,0)</f>
        <v/>
      </c>
      <c r="AB40" s="3">
        <f>IF(S40="Y",5,0)+IF(T40="Y",5,0)+IF(U40&gt;=3,5,IF(U40&gt;=1,2,0))</f>
        <v/>
      </c>
      <c r="AC40" s="3">
        <f>IF(V40&gt;=2,8,IF(V40&gt;=1,5,0))+IF(W40="Y",4,0)+IF(X40="Y",3,0)</f>
        <v/>
      </c>
      <c r="AD40" s="3">
        <f>IF(A40="","",IF(OR(H40="Y",I40&lt;2),"",ROUND(Y40+Z40+AA40+AB40+AC40,0)))</f>
        <v/>
      </c>
      <c r="AE40" s="3">
        <f>IF(A40="","",IF(H40="Y","Not recommended: active recall",IF(I40&lt;2,"Not enough evidence yet","Scored")))</f>
        <v/>
      </c>
      <c r="AF40" s="3">
        <f>IF(AD40="","",IF(AD40&gt;=85,"Excellent",IF(AD40&gt;=70,"Good",IF(AD40&gt;=55,"Fair","Poor"))))</f>
        <v/>
      </c>
      <c r="AG40" s="3">
        <f>IF(AD40="","",IF(OR(G40="Y",I40&gt;=5),"High",IF(I40&gt;=3,"Medium","Low")))</f>
        <v/>
      </c>
    </row>
    <row r="41">
      <c r="Y41" s="3">
        <f>IF(I41&gt;=3,10,IF(I41=2,5,0))+IF(J41="Y",10,IF(J41="Partial",5,0))+IF(K41="Y",10,0)</f>
        <v/>
      </c>
      <c r="Z41" s="3">
        <f>IF(M41="Y",IF(L41="Y",8,0)+IF(N41="Y",8,0)+IF(O41="Y",4,0),ROUND((IF(L41="Y",8,0)+IF(O41="Y",4,0))*20/12,1))</f>
        <v/>
      </c>
      <c r="AA41" s="3">
        <f>IF(P41="Y",8,IF(P41="Partial",4,0))+IF(Q41="Y",6,IF(Q41="Partial",3,0))+IF(R41="Y",6,0)</f>
        <v/>
      </c>
      <c r="AB41" s="3">
        <f>IF(S41="Y",5,0)+IF(T41="Y",5,0)+IF(U41&gt;=3,5,IF(U41&gt;=1,2,0))</f>
        <v/>
      </c>
      <c r="AC41" s="3">
        <f>IF(V41&gt;=2,8,IF(V41&gt;=1,5,0))+IF(W41="Y",4,0)+IF(X41="Y",3,0)</f>
        <v/>
      </c>
      <c r="AD41" s="3">
        <f>IF(A41="","",IF(OR(H41="Y",I41&lt;2),"",ROUND(Y41+Z41+AA41+AB41+AC41,0)))</f>
        <v/>
      </c>
      <c r="AE41" s="3">
        <f>IF(A41="","",IF(H41="Y","Not recommended: active recall",IF(I41&lt;2,"Not enough evidence yet","Scored")))</f>
        <v/>
      </c>
      <c r="AF41" s="3">
        <f>IF(AD41="","",IF(AD41&gt;=85,"Excellent",IF(AD41&gt;=70,"Good",IF(AD41&gt;=55,"Fair","Poor"))))</f>
        <v/>
      </c>
      <c r="AG41" s="3">
        <f>IF(AD41="","",IF(OR(G41="Y",I41&gt;=5),"High",IF(I41&gt;=3,"Medium","Low")))</f>
        <v/>
      </c>
    </row>
    <row r="42">
      <c r="Y42" s="3">
        <f>IF(I42&gt;=3,10,IF(I42=2,5,0))+IF(J42="Y",10,IF(J42="Partial",5,0))+IF(K42="Y",10,0)</f>
        <v/>
      </c>
      <c r="Z42" s="3">
        <f>IF(M42="Y",IF(L42="Y",8,0)+IF(N42="Y",8,0)+IF(O42="Y",4,0),ROUND((IF(L42="Y",8,0)+IF(O42="Y",4,0))*20/12,1))</f>
        <v/>
      </c>
      <c r="AA42" s="3">
        <f>IF(P42="Y",8,IF(P42="Partial",4,0))+IF(Q42="Y",6,IF(Q42="Partial",3,0))+IF(R42="Y",6,0)</f>
        <v/>
      </c>
      <c r="AB42" s="3">
        <f>IF(S42="Y",5,0)+IF(T42="Y",5,0)+IF(U42&gt;=3,5,IF(U42&gt;=1,2,0))</f>
        <v/>
      </c>
      <c r="AC42" s="3">
        <f>IF(V42&gt;=2,8,IF(V42&gt;=1,5,0))+IF(W42="Y",4,0)+IF(X42="Y",3,0)</f>
        <v/>
      </c>
      <c r="AD42" s="3">
        <f>IF(A42="","",IF(OR(H42="Y",I42&lt;2),"",ROUND(Y42+Z42+AA42+AB42+AC42,0)))</f>
        <v/>
      </c>
      <c r="AE42" s="3">
        <f>IF(A42="","",IF(H42="Y","Not recommended: active recall",IF(I42&lt;2,"Not enough evidence yet","Scored")))</f>
        <v/>
      </c>
      <c r="AF42" s="3">
        <f>IF(AD42="","",IF(AD42&gt;=85,"Excellent",IF(AD42&gt;=70,"Good",IF(AD42&gt;=55,"Fair","Poor"))))</f>
        <v/>
      </c>
      <c r="AG42" s="3">
        <f>IF(AD42="","",IF(OR(G42="Y",I42&gt;=5),"High",IF(I42&gt;=3,"Medium","Low")))</f>
        <v/>
      </c>
    </row>
    <row r="43">
      <c r="Y43" s="3">
        <f>IF(I43&gt;=3,10,IF(I43=2,5,0))+IF(J43="Y",10,IF(J43="Partial",5,0))+IF(K43="Y",10,0)</f>
        <v/>
      </c>
      <c r="Z43" s="3">
        <f>IF(M43="Y",IF(L43="Y",8,0)+IF(N43="Y",8,0)+IF(O43="Y",4,0),ROUND((IF(L43="Y",8,0)+IF(O43="Y",4,0))*20/12,1))</f>
        <v/>
      </c>
      <c r="AA43" s="3">
        <f>IF(P43="Y",8,IF(P43="Partial",4,0))+IF(Q43="Y",6,IF(Q43="Partial",3,0))+IF(R43="Y",6,0)</f>
        <v/>
      </c>
      <c r="AB43" s="3">
        <f>IF(S43="Y",5,0)+IF(T43="Y",5,0)+IF(U43&gt;=3,5,IF(U43&gt;=1,2,0))</f>
        <v/>
      </c>
      <c r="AC43" s="3">
        <f>IF(V43&gt;=2,8,IF(V43&gt;=1,5,0))+IF(W43="Y",4,0)+IF(X43="Y",3,0)</f>
        <v/>
      </c>
      <c r="AD43" s="3">
        <f>IF(A43="","",IF(OR(H43="Y",I43&lt;2),"",ROUND(Y43+Z43+AA43+AB43+AC43,0)))</f>
        <v/>
      </c>
      <c r="AE43" s="3">
        <f>IF(A43="","",IF(H43="Y","Not recommended: active recall",IF(I43&lt;2,"Not enough evidence yet","Scored")))</f>
        <v/>
      </c>
      <c r="AF43" s="3">
        <f>IF(AD43="","",IF(AD43&gt;=85,"Excellent",IF(AD43&gt;=70,"Good",IF(AD43&gt;=55,"Fair","Poor"))))</f>
        <v/>
      </c>
      <c r="AG43" s="3">
        <f>IF(AD43="","",IF(OR(G43="Y",I43&gt;=5),"High",IF(I43&gt;=3,"Medium","Low")))</f>
        <v/>
      </c>
    </row>
    <row r="44">
      <c r="Y44" s="3">
        <f>IF(I44&gt;=3,10,IF(I44=2,5,0))+IF(J44="Y",10,IF(J44="Partial",5,0))+IF(K44="Y",10,0)</f>
        <v/>
      </c>
      <c r="Z44" s="3">
        <f>IF(M44="Y",IF(L44="Y",8,0)+IF(N44="Y",8,0)+IF(O44="Y",4,0),ROUND((IF(L44="Y",8,0)+IF(O44="Y",4,0))*20/12,1))</f>
        <v/>
      </c>
      <c r="AA44" s="3">
        <f>IF(P44="Y",8,IF(P44="Partial",4,0))+IF(Q44="Y",6,IF(Q44="Partial",3,0))+IF(R44="Y",6,0)</f>
        <v/>
      </c>
      <c r="AB44" s="3">
        <f>IF(S44="Y",5,0)+IF(T44="Y",5,0)+IF(U44&gt;=3,5,IF(U44&gt;=1,2,0))</f>
        <v/>
      </c>
      <c r="AC44" s="3">
        <f>IF(V44&gt;=2,8,IF(V44&gt;=1,5,0))+IF(W44="Y",4,0)+IF(X44="Y",3,0)</f>
        <v/>
      </c>
      <c r="AD44" s="3">
        <f>IF(A44="","",IF(OR(H44="Y",I44&lt;2),"",ROUND(Y44+Z44+AA44+AB44+AC44,0)))</f>
        <v/>
      </c>
      <c r="AE44" s="3">
        <f>IF(A44="","",IF(H44="Y","Not recommended: active recall",IF(I44&lt;2,"Not enough evidence yet","Scored")))</f>
        <v/>
      </c>
      <c r="AF44" s="3">
        <f>IF(AD44="","",IF(AD44&gt;=85,"Excellent",IF(AD44&gt;=70,"Good",IF(AD44&gt;=55,"Fair","Poor"))))</f>
        <v/>
      </c>
      <c r="AG44" s="3">
        <f>IF(AD44="","",IF(OR(G44="Y",I44&gt;=5),"High",IF(I44&gt;=3,"Medium","Low")))</f>
        <v/>
      </c>
    </row>
    <row r="45">
      <c r="Y45" s="3">
        <f>IF(I45&gt;=3,10,IF(I45=2,5,0))+IF(J45="Y",10,IF(J45="Partial",5,0))+IF(K45="Y",10,0)</f>
        <v/>
      </c>
      <c r="Z45" s="3">
        <f>IF(M45="Y",IF(L45="Y",8,0)+IF(N45="Y",8,0)+IF(O45="Y",4,0),ROUND((IF(L45="Y",8,0)+IF(O45="Y",4,0))*20/12,1))</f>
        <v/>
      </c>
      <c r="AA45" s="3">
        <f>IF(P45="Y",8,IF(P45="Partial",4,0))+IF(Q45="Y",6,IF(Q45="Partial",3,0))+IF(R45="Y",6,0)</f>
        <v/>
      </c>
      <c r="AB45" s="3">
        <f>IF(S45="Y",5,0)+IF(T45="Y",5,0)+IF(U45&gt;=3,5,IF(U45&gt;=1,2,0))</f>
        <v/>
      </c>
      <c r="AC45" s="3">
        <f>IF(V45&gt;=2,8,IF(V45&gt;=1,5,0))+IF(W45="Y",4,0)+IF(X45="Y",3,0)</f>
        <v/>
      </c>
      <c r="AD45" s="3">
        <f>IF(A45="","",IF(OR(H45="Y",I45&lt;2),"",ROUND(Y45+Z45+AA45+AB45+AC45,0)))</f>
        <v/>
      </c>
      <c r="AE45" s="3">
        <f>IF(A45="","",IF(H45="Y","Not recommended: active recall",IF(I45&lt;2,"Not enough evidence yet","Scored")))</f>
        <v/>
      </c>
      <c r="AF45" s="3">
        <f>IF(AD45="","",IF(AD45&gt;=85,"Excellent",IF(AD45&gt;=70,"Good",IF(AD45&gt;=55,"Fair","Poor"))))</f>
        <v/>
      </c>
      <c r="AG45" s="3">
        <f>IF(AD45="","",IF(OR(G45="Y",I45&gt;=5),"High",IF(I45&gt;=3,"Medium","Low")))</f>
        <v/>
      </c>
    </row>
    <row r="46">
      <c r="Y46" s="3">
        <f>IF(I46&gt;=3,10,IF(I46=2,5,0))+IF(J46="Y",10,IF(J46="Partial",5,0))+IF(K46="Y",10,0)</f>
        <v/>
      </c>
      <c r="Z46" s="3">
        <f>IF(M46="Y",IF(L46="Y",8,0)+IF(N46="Y",8,0)+IF(O46="Y",4,0),ROUND((IF(L46="Y",8,0)+IF(O46="Y",4,0))*20/12,1))</f>
        <v/>
      </c>
      <c r="AA46" s="3">
        <f>IF(P46="Y",8,IF(P46="Partial",4,0))+IF(Q46="Y",6,IF(Q46="Partial",3,0))+IF(R46="Y",6,0)</f>
        <v/>
      </c>
      <c r="AB46" s="3">
        <f>IF(S46="Y",5,0)+IF(T46="Y",5,0)+IF(U46&gt;=3,5,IF(U46&gt;=1,2,0))</f>
        <v/>
      </c>
      <c r="AC46" s="3">
        <f>IF(V46&gt;=2,8,IF(V46&gt;=1,5,0))+IF(W46="Y",4,0)+IF(X46="Y",3,0)</f>
        <v/>
      </c>
      <c r="AD46" s="3">
        <f>IF(A46="","",IF(OR(H46="Y",I46&lt;2),"",ROUND(Y46+Z46+AA46+AB46+AC46,0)))</f>
        <v/>
      </c>
      <c r="AE46" s="3">
        <f>IF(A46="","",IF(H46="Y","Not recommended: active recall",IF(I46&lt;2,"Not enough evidence yet","Scored")))</f>
        <v/>
      </c>
      <c r="AF46" s="3">
        <f>IF(AD46="","",IF(AD46&gt;=85,"Excellent",IF(AD46&gt;=70,"Good",IF(AD46&gt;=55,"Fair","Poor"))))</f>
        <v/>
      </c>
      <c r="AG46" s="3">
        <f>IF(AD46="","",IF(OR(G46="Y",I46&gt;=5),"High",IF(I46&gt;=3,"Medium","Low")))</f>
        <v/>
      </c>
    </row>
    <row r="47">
      <c r="Y47" s="3">
        <f>IF(I47&gt;=3,10,IF(I47=2,5,0))+IF(J47="Y",10,IF(J47="Partial",5,0))+IF(K47="Y",10,0)</f>
        <v/>
      </c>
      <c r="Z47" s="3">
        <f>IF(M47="Y",IF(L47="Y",8,0)+IF(N47="Y",8,0)+IF(O47="Y",4,0),ROUND((IF(L47="Y",8,0)+IF(O47="Y",4,0))*20/12,1))</f>
        <v/>
      </c>
      <c r="AA47" s="3">
        <f>IF(P47="Y",8,IF(P47="Partial",4,0))+IF(Q47="Y",6,IF(Q47="Partial",3,0))+IF(R47="Y",6,0)</f>
        <v/>
      </c>
      <c r="AB47" s="3">
        <f>IF(S47="Y",5,0)+IF(T47="Y",5,0)+IF(U47&gt;=3,5,IF(U47&gt;=1,2,0))</f>
        <v/>
      </c>
      <c r="AC47" s="3">
        <f>IF(V47&gt;=2,8,IF(V47&gt;=1,5,0))+IF(W47="Y",4,0)+IF(X47="Y",3,0)</f>
        <v/>
      </c>
      <c r="AD47" s="3">
        <f>IF(A47="","",IF(OR(H47="Y",I47&lt;2),"",ROUND(Y47+Z47+AA47+AB47+AC47,0)))</f>
        <v/>
      </c>
      <c r="AE47" s="3">
        <f>IF(A47="","",IF(H47="Y","Not recommended: active recall",IF(I47&lt;2,"Not enough evidence yet","Scored")))</f>
        <v/>
      </c>
      <c r="AF47" s="3">
        <f>IF(AD47="","",IF(AD47&gt;=85,"Excellent",IF(AD47&gt;=70,"Good",IF(AD47&gt;=55,"Fair","Poor"))))</f>
        <v/>
      </c>
      <c r="AG47" s="3">
        <f>IF(AD47="","",IF(OR(G47="Y",I47&gt;=5),"High",IF(I47&gt;=3,"Medium","Low")))</f>
        <v/>
      </c>
    </row>
    <row r="48">
      <c r="Y48" s="3">
        <f>IF(I48&gt;=3,10,IF(I48=2,5,0))+IF(J48="Y",10,IF(J48="Partial",5,0))+IF(K48="Y",10,0)</f>
        <v/>
      </c>
      <c r="Z48" s="3">
        <f>IF(M48="Y",IF(L48="Y",8,0)+IF(N48="Y",8,0)+IF(O48="Y",4,0),ROUND((IF(L48="Y",8,0)+IF(O48="Y",4,0))*20/12,1))</f>
        <v/>
      </c>
      <c r="AA48" s="3">
        <f>IF(P48="Y",8,IF(P48="Partial",4,0))+IF(Q48="Y",6,IF(Q48="Partial",3,0))+IF(R48="Y",6,0)</f>
        <v/>
      </c>
      <c r="AB48" s="3">
        <f>IF(S48="Y",5,0)+IF(T48="Y",5,0)+IF(U48&gt;=3,5,IF(U48&gt;=1,2,0))</f>
        <v/>
      </c>
      <c r="AC48" s="3">
        <f>IF(V48&gt;=2,8,IF(V48&gt;=1,5,0))+IF(W48="Y",4,0)+IF(X48="Y",3,0)</f>
        <v/>
      </c>
      <c r="AD48" s="3">
        <f>IF(A48="","",IF(OR(H48="Y",I48&lt;2),"",ROUND(Y48+Z48+AA48+AB48+AC48,0)))</f>
        <v/>
      </c>
      <c r="AE48" s="3">
        <f>IF(A48="","",IF(H48="Y","Not recommended: active recall",IF(I48&lt;2,"Not enough evidence yet","Scored")))</f>
        <v/>
      </c>
      <c r="AF48" s="3">
        <f>IF(AD48="","",IF(AD48&gt;=85,"Excellent",IF(AD48&gt;=70,"Good",IF(AD48&gt;=55,"Fair","Poor"))))</f>
        <v/>
      </c>
      <c r="AG48" s="3">
        <f>IF(AD48="","",IF(OR(G48="Y",I48&gt;=5),"High",IF(I48&gt;=3,"Medium","Low")))</f>
        <v/>
      </c>
    </row>
    <row r="49">
      <c r="Y49" s="3">
        <f>IF(I49&gt;=3,10,IF(I49=2,5,0))+IF(J49="Y",10,IF(J49="Partial",5,0))+IF(K49="Y",10,0)</f>
        <v/>
      </c>
      <c r="Z49" s="3">
        <f>IF(M49="Y",IF(L49="Y",8,0)+IF(N49="Y",8,0)+IF(O49="Y",4,0),ROUND((IF(L49="Y",8,0)+IF(O49="Y",4,0))*20/12,1))</f>
        <v/>
      </c>
      <c r="AA49" s="3">
        <f>IF(P49="Y",8,IF(P49="Partial",4,0))+IF(Q49="Y",6,IF(Q49="Partial",3,0))+IF(R49="Y",6,0)</f>
        <v/>
      </c>
      <c r="AB49" s="3">
        <f>IF(S49="Y",5,0)+IF(T49="Y",5,0)+IF(U49&gt;=3,5,IF(U49&gt;=1,2,0))</f>
        <v/>
      </c>
      <c r="AC49" s="3">
        <f>IF(V49&gt;=2,8,IF(V49&gt;=1,5,0))+IF(W49="Y",4,0)+IF(X49="Y",3,0)</f>
        <v/>
      </c>
      <c r="AD49" s="3">
        <f>IF(A49="","",IF(OR(H49="Y",I49&lt;2),"",ROUND(Y49+Z49+AA49+AB49+AC49,0)))</f>
        <v/>
      </c>
      <c r="AE49" s="3">
        <f>IF(A49="","",IF(H49="Y","Not recommended: active recall",IF(I49&lt;2,"Not enough evidence yet","Scored")))</f>
        <v/>
      </c>
      <c r="AF49" s="3">
        <f>IF(AD49="","",IF(AD49&gt;=85,"Excellent",IF(AD49&gt;=70,"Good",IF(AD49&gt;=55,"Fair","Poor"))))</f>
        <v/>
      </c>
      <c r="AG49" s="3">
        <f>IF(AD49="","",IF(OR(G49="Y",I49&gt;=5),"High",IF(I49&gt;=3,"Medium","Low")))</f>
        <v/>
      </c>
    </row>
    <row r="50">
      <c r="Y50" s="3">
        <f>IF(I50&gt;=3,10,IF(I50=2,5,0))+IF(J50="Y",10,IF(J50="Partial",5,0))+IF(K50="Y",10,0)</f>
        <v/>
      </c>
      <c r="Z50" s="3">
        <f>IF(M50="Y",IF(L50="Y",8,0)+IF(N50="Y",8,0)+IF(O50="Y",4,0),ROUND((IF(L50="Y",8,0)+IF(O50="Y",4,0))*20/12,1))</f>
        <v/>
      </c>
      <c r="AA50" s="3">
        <f>IF(P50="Y",8,IF(P50="Partial",4,0))+IF(Q50="Y",6,IF(Q50="Partial",3,0))+IF(R50="Y",6,0)</f>
        <v/>
      </c>
      <c r="AB50" s="3">
        <f>IF(S50="Y",5,0)+IF(T50="Y",5,0)+IF(U50&gt;=3,5,IF(U50&gt;=1,2,0))</f>
        <v/>
      </c>
      <c r="AC50" s="3">
        <f>IF(V50&gt;=2,8,IF(V50&gt;=1,5,0))+IF(W50="Y",4,0)+IF(X50="Y",3,0)</f>
        <v/>
      </c>
      <c r="AD50" s="3">
        <f>IF(A50="","",IF(OR(H50="Y",I50&lt;2),"",ROUND(Y50+Z50+AA50+AB50+AC50,0)))</f>
        <v/>
      </c>
      <c r="AE50" s="3">
        <f>IF(A50="","",IF(H50="Y","Not recommended: active recall",IF(I50&lt;2,"Not enough evidence yet","Scored")))</f>
        <v/>
      </c>
      <c r="AF50" s="3">
        <f>IF(AD50="","",IF(AD50&gt;=85,"Excellent",IF(AD50&gt;=70,"Good",IF(AD50&gt;=55,"Fair","Poor"))))</f>
        <v/>
      </c>
      <c r="AG50" s="3">
        <f>IF(AD50="","",IF(OR(G50="Y",I50&gt;=5),"High",IF(I50&gt;=3,"Medium","Low")))</f>
        <v/>
      </c>
    </row>
    <row r="51">
      <c r="Y51" s="3">
        <f>IF(I51&gt;=3,10,IF(I51=2,5,0))+IF(J51="Y",10,IF(J51="Partial",5,0))+IF(K51="Y",10,0)</f>
        <v/>
      </c>
      <c r="Z51" s="3">
        <f>IF(M51="Y",IF(L51="Y",8,0)+IF(N51="Y",8,0)+IF(O51="Y",4,0),ROUND((IF(L51="Y",8,0)+IF(O51="Y",4,0))*20/12,1))</f>
        <v/>
      </c>
      <c r="AA51" s="3">
        <f>IF(P51="Y",8,IF(P51="Partial",4,0))+IF(Q51="Y",6,IF(Q51="Partial",3,0))+IF(R51="Y",6,0)</f>
        <v/>
      </c>
      <c r="AB51" s="3">
        <f>IF(S51="Y",5,0)+IF(T51="Y",5,0)+IF(U51&gt;=3,5,IF(U51&gt;=1,2,0))</f>
        <v/>
      </c>
      <c r="AC51" s="3">
        <f>IF(V51&gt;=2,8,IF(V51&gt;=1,5,0))+IF(W51="Y",4,0)+IF(X51="Y",3,0)</f>
        <v/>
      </c>
      <c r="AD51" s="3">
        <f>IF(A51="","",IF(OR(H51="Y",I51&lt;2),"",ROUND(Y51+Z51+AA51+AB51+AC51,0)))</f>
        <v/>
      </c>
      <c r="AE51" s="3">
        <f>IF(A51="","",IF(H51="Y","Not recommended: active recall",IF(I51&lt;2,"Not enough evidence yet","Scored")))</f>
        <v/>
      </c>
      <c r="AF51" s="3">
        <f>IF(AD51="","",IF(AD51&gt;=85,"Excellent",IF(AD51&gt;=70,"Good",IF(AD51&gt;=55,"Fair","Poor"))))</f>
        <v/>
      </c>
      <c r="AG51" s="3">
        <f>IF(AD51="","",IF(OR(G51="Y",I51&gt;=5),"High",IF(I51&gt;=3,"Medium","Low")))</f>
        <v/>
      </c>
    </row>
    <row r="52">
      <c r="Y52" s="3">
        <f>IF(I52&gt;=3,10,IF(I52=2,5,0))+IF(J52="Y",10,IF(J52="Partial",5,0))+IF(K52="Y",10,0)</f>
        <v/>
      </c>
      <c r="Z52" s="3">
        <f>IF(M52="Y",IF(L52="Y",8,0)+IF(N52="Y",8,0)+IF(O52="Y",4,0),ROUND((IF(L52="Y",8,0)+IF(O52="Y",4,0))*20/12,1))</f>
        <v/>
      </c>
      <c r="AA52" s="3">
        <f>IF(P52="Y",8,IF(P52="Partial",4,0))+IF(Q52="Y",6,IF(Q52="Partial",3,0))+IF(R52="Y",6,0)</f>
        <v/>
      </c>
      <c r="AB52" s="3">
        <f>IF(S52="Y",5,0)+IF(T52="Y",5,0)+IF(U52&gt;=3,5,IF(U52&gt;=1,2,0))</f>
        <v/>
      </c>
      <c r="AC52" s="3">
        <f>IF(V52&gt;=2,8,IF(V52&gt;=1,5,0))+IF(W52="Y",4,0)+IF(X52="Y",3,0)</f>
        <v/>
      </c>
      <c r="AD52" s="3">
        <f>IF(A52="","",IF(OR(H52="Y",I52&lt;2),"",ROUND(Y52+Z52+AA52+AB52+AC52,0)))</f>
        <v/>
      </c>
      <c r="AE52" s="3">
        <f>IF(A52="","",IF(H52="Y","Not recommended: active recall",IF(I52&lt;2,"Not enough evidence yet","Scored")))</f>
        <v/>
      </c>
      <c r="AF52" s="3">
        <f>IF(AD52="","",IF(AD52&gt;=85,"Excellent",IF(AD52&gt;=70,"Good",IF(AD52&gt;=55,"Fair","Poor"))))</f>
        <v/>
      </c>
      <c r="AG52" s="3">
        <f>IF(AD52="","",IF(OR(G52="Y",I52&gt;=5),"High",IF(I52&gt;=3,"Medium","Low")))</f>
        <v/>
      </c>
    </row>
    <row r="53">
      <c r="Y53" s="3">
        <f>IF(I53&gt;=3,10,IF(I53=2,5,0))+IF(J53="Y",10,IF(J53="Partial",5,0))+IF(K53="Y",10,0)</f>
        <v/>
      </c>
      <c r="Z53" s="3">
        <f>IF(M53="Y",IF(L53="Y",8,0)+IF(N53="Y",8,0)+IF(O53="Y",4,0),ROUND((IF(L53="Y",8,0)+IF(O53="Y",4,0))*20/12,1))</f>
        <v/>
      </c>
      <c r="AA53" s="3">
        <f>IF(P53="Y",8,IF(P53="Partial",4,0))+IF(Q53="Y",6,IF(Q53="Partial",3,0))+IF(R53="Y",6,0)</f>
        <v/>
      </c>
      <c r="AB53" s="3">
        <f>IF(S53="Y",5,0)+IF(T53="Y",5,0)+IF(U53&gt;=3,5,IF(U53&gt;=1,2,0))</f>
        <v/>
      </c>
      <c r="AC53" s="3">
        <f>IF(V53&gt;=2,8,IF(V53&gt;=1,5,0))+IF(W53="Y",4,0)+IF(X53="Y",3,0)</f>
        <v/>
      </c>
      <c r="AD53" s="3">
        <f>IF(A53="","",IF(OR(H53="Y",I53&lt;2),"",ROUND(Y53+Z53+AA53+AB53+AC53,0)))</f>
        <v/>
      </c>
      <c r="AE53" s="3">
        <f>IF(A53="","",IF(H53="Y","Not recommended: active recall",IF(I53&lt;2,"Not enough evidence yet","Scored")))</f>
        <v/>
      </c>
      <c r="AF53" s="3">
        <f>IF(AD53="","",IF(AD53&gt;=85,"Excellent",IF(AD53&gt;=70,"Good",IF(AD53&gt;=55,"Fair","Poor"))))</f>
        <v/>
      </c>
      <c r="AG53" s="3">
        <f>IF(AD53="","",IF(OR(G53="Y",I53&gt;=5),"High",IF(I53&gt;=3,"Medium","Low")))</f>
        <v/>
      </c>
    </row>
    <row r="54">
      <c r="Y54" s="3">
        <f>IF(I54&gt;=3,10,IF(I54=2,5,0))+IF(J54="Y",10,IF(J54="Partial",5,0))+IF(K54="Y",10,0)</f>
        <v/>
      </c>
      <c r="Z54" s="3">
        <f>IF(M54="Y",IF(L54="Y",8,0)+IF(N54="Y",8,0)+IF(O54="Y",4,0),ROUND((IF(L54="Y",8,0)+IF(O54="Y",4,0))*20/12,1))</f>
        <v/>
      </c>
      <c r="AA54" s="3">
        <f>IF(P54="Y",8,IF(P54="Partial",4,0))+IF(Q54="Y",6,IF(Q54="Partial",3,0))+IF(R54="Y",6,0)</f>
        <v/>
      </c>
      <c r="AB54" s="3">
        <f>IF(S54="Y",5,0)+IF(T54="Y",5,0)+IF(U54&gt;=3,5,IF(U54&gt;=1,2,0))</f>
        <v/>
      </c>
      <c r="AC54" s="3">
        <f>IF(V54&gt;=2,8,IF(V54&gt;=1,5,0))+IF(W54="Y",4,0)+IF(X54="Y",3,0)</f>
        <v/>
      </c>
      <c r="AD54" s="3">
        <f>IF(A54="","",IF(OR(H54="Y",I54&lt;2),"",ROUND(Y54+Z54+AA54+AB54+AC54,0)))</f>
        <v/>
      </c>
      <c r="AE54" s="3">
        <f>IF(A54="","",IF(H54="Y","Not recommended: active recall",IF(I54&lt;2,"Not enough evidence yet","Scored")))</f>
        <v/>
      </c>
      <c r="AF54" s="3">
        <f>IF(AD54="","",IF(AD54&gt;=85,"Excellent",IF(AD54&gt;=70,"Good",IF(AD54&gt;=55,"Fair","Poor"))))</f>
        <v/>
      </c>
      <c r="AG54" s="3">
        <f>IF(AD54="","",IF(OR(G54="Y",I54&gt;=5),"High",IF(I54&gt;=3,"Medium","Low")))</f>
        <v/>
      </c>
    </row>
    <row r="55">
      <c r="Y55" s="3">
        <f>IF(I55&gt;=3,10,IF(I55=2,5,0))+IF(J55="Y",10,IF(J55="Partial",5,0))+IF(K55="Y",10,0)</f>
        <v/>
      </c>
      <c r="Z55" s="3">
        <f>IF(M55="Y",IF(L55="Y",8,0)+IF(N55="Y",8,0)+IF(O55="Y",4,0),ROUND((IF(L55="Y",8,0)+IF(O55="Y",4,0))*20/12,1))</f>
        <v/>
      </c>
      <c r="AA55" s="3">
        <f>IF(P55="Y",8,IF(P55="Partial",4,0))+IF(Q55="Y",6,IF(Q55="Partial",3,0))+IF(R55="Y",6,0)</f>
        <v/>
      </c>
      <c r="AB55" s="3">
        <f>IF(S55="Y",5,0)+IF(T55="Y",5,0)+IF(U55&gt;=3,5,IF(U55&gt;=1,2,0))</f>
        <v/>
      </c>
      <c r="AC55" s="3">
        <f>IF(V55&gt;=2,8,IF(V55&gt;=1,5,0))+IF(W55="Y",4,0)+IF(X55="Y",3,0)</f>
        <v/>
      </c>
      <c r="AD55" s="3">
        <f>IF(A55="","",IF(OR(H55="Y",I55&lt;2),"",ROUND(Y55+Z55+AA55+AB55+AC55,0)))</f>
        <v/>
      </c>
      <c r="AE55" s="3">
        <f>IF(A55="","",IF(H55="Y","Not recommended: active recall",IF(I55&lt;2,"Not enough evidence yet","Scored")))</f>
        <v/>
      </c>
      <c r="AF55" s="3">
        <f>IF(AD55="","",IF(AD55&gt;=85,"Excellent",IF(AD55&gt;=70,"Good",IF(AD55&gt;=55,"Fair","Poor"))))</f>
        <v/>
      </c>
      <c r="AG55" s="3">
        <f>IF(AD55="","",IF(OR(G55="Y",I55&gt;=5),"High",IF(I55&gt;=3,"Medium","Low")))</f>
        <v/>
      </c>
    </row>
    <row r="56">
      <c r="Y56" s="3">
        <f>IF(I56&gt;=3,10,IF(I56=2,5,0))+IF(J56="Y",10,IF(J56="Partial",5,0))+IF(K56="Y",10,0)</f>
        <v/>
      </c>
      <c r="Z56" s="3">
        <f>IF(M56="Y",IF(L56="Y",8,0)+IF(N56="Y",8,0)+IF(O56="Y",4,0),ROUND((IF(L56="Y",8,0)+IF(O56="Y",4,0))*20/12,1))</f>
        <v/>
      </c>
      <c r="AA56" s="3">
        <f>IF(P56="Y",8,IF(P56="Partial",4,0))+IF(Q56="Y",6,IF(Q56="Partial",3,0))+IF(R56="Y",6,0)</f>
        <v/>
      </c>
      <c r="AB56" s="3">
        <f>IF(S56="Y",5,0)+IF(T56="Y",5,0)+IF(U56&gt;=3,5,IF(U56&gt;=1,2,0))</f>
        <v/>
      </c>
      <c r="AC56" s="3">
        <f>IF(V56&gt;=2,8,IF(V56&gt;=1,5,0))+IF(W56="Y",4,0)+IF(X56="Y",3,0)</f>
        <v/>
      </c>
      <c r="AD56" s="3">
        <f>IF(A56="","",IF(OR(H56="Y",I56&lt;2),"",ROUND(Y56+Z56+AA56+AB56+AC56,0)))</f>
        <v/>
      </c>
      <c r="AE56" s="3">
        <f>IF(A56="","",IF(H56="Y","Not recommended: active recall",IF(I56&lt;2,"Not enough evidence yet","Scored")))</f>
        <v/>
      </c>
      <c r="AF56" s="3">
        <f>IF(AD56="","",IF(AD56&gt;=85,"Excellent",IF(AD56&gt;=70,"Good",IF(AD56&gt;=55,"Fair","Poor"))))</f>
        <v/>
      </c>
      <c r="AG56" s="3">
        <f>IF(AD56="","",IF(OR(G56="Y",I56&gt;=5),"High",IF(I56&gt;=3,"Medium","Low")))</f>
        <v/>
      </c>
    </row>
    <row r="57">
      <c r="Y57" s="3">
        <f>IF(I57&gt;=3,10,IF(I57=2,5,0))+IF(J57="Y",10,IF(J57="Partial",5,0))+IF(K57="Y",10,0)</f>
        <v/>
      </c>
      <c r="Z57" s="3">
        <f>IF(M57="Y",IF(L57="Y",8,0)+IF(N57="Y",8,0)+IF(O57="Y",4,0),ROUND((IF(L57="Y",8,0)+IF(O57="Y",4,0))*20/12,1))</f>
        <v/>
      </c>
      <c r="AA57" s="3">
        <f>IF(P57="Y",8,IF(P57="Partial",4,0))+IF(Q57="Y",6,IF(Q57="Partial",3,0))+IF(R57="Y",6,0)</f>
        <v/>
      </c>
      <c r="AB57" s="3">
        <f>IF(S57="Y",5,0)+IF(T57="Y",5,0)+IF(U57&gt;=3,5,IF(U57&gt;=1,2,0))</f>
        <v/>
      </c>
      <c r="AC57" s="3">
        <f>IF(V57&gt;=2,8,IF(V57&gt;=1,5,0))+IF(W57="Y",4,0)+IF(X57="Y",3,0)</f>
        <v/>
      </c>
      <c r="AD57" s="3">
        <f>IF(A57="","",IF(OR(H57="Y",I57&lt;2),"",ROUND(Y57+Z57+AA57+AB57+AC57,0)))</f>
        <v/>
      </c>
      <c r="AE57" s="3">
        <f>IF(A57="","",IF(H57="Y","Not recommended: active recall",IF(I57&lt;2,"Not enough evidence yet","Scored")))</f>
        <v/>
      </c>
      <c r="AF57" s="3">
        <f>IF(AD57="","",IF(AD57&gt;=85,"Excellent",IF(AD57&gt;=70,"Good",IF(AD57&gt;=55,"Fair","Poor"))))</f>
        <v/>
      </c>
      <c r="AG57" s="3">
        <f>IF(AD57="","",IF(OR(G57="Y",I57&gt;=5),"High",IF(I57&gt;=3,"Medium","Low")))</f>
        <v/>
      </c>
    </row>
    <row r="58">
      <c r="Y58" s="3">
        <f>IF(I58&gt;=3,10,IF(I58=2,5,0))+IF(J58="Y",10,IF(J58="Partial",5,0))+IF(K58="Y",10,0)</f>
        <v/>
      </c>
      <c r="Z58" s="3">
        <f>IF(M58="Y",IF(L58="Y",8,0)+IF(N58="Y",8,0)+IF(O58="Y",4,0),ROUND((IF(L58="Y",8,0)+IF(O58="Y",4,0))*20/12,1))</f>
        <v/>
      </c>
      <c r="AA58" s="3">
        <f>IF(P58="Y",8,IF(P58="Partial",4,0))+IF(Q58="Y",6,IF(Q58="Partial",3,0))+IF(R58="Y",6,0)</f>
        <v/>
      </c>
      <c r="AB58" s="3">
        <f>IF(S58="Y",5,0)+IF(T58="Y",5,0)+IF(U58&gt;=3,5,IF(U58&gt;=1,2,0))</f>
        <v/>
      </c>
      <c r="AC58" s="3">
        <f>IF(V58&gt;=2,8,IF(V58&gt;=1,5,0))+IF(W58="Y",4,0)+IF(X58="Y",3,0)</f>
        <v/>
      </c>
      <c r="AD58" s="3">
        <f>IF(A58="","",IF(OR(H58="Y",I58&lt;2),"",ROUND(Y58+Z58+AA58+AB58+AC58,0)))</f>
        <v/>
      </c>
      <c r="AE58" s="3">
        <f>IF(A58="","",IF(H58="Y","Not recommended: active recall",IF(I58&lt;2,"Not enough evidence yet","Scored")))</f>
        <v/>
      </c>
      <c r="AF58" s="3">
        <f>IF(AD58="","",IF(AD58&gt;=85,"Excellent",IF(AD58&gt;=70,"Good",IF(AD58&gt;=55,"Fair","Poor"))))</f>
        <v/>
      </c>
      <c r="AG58" s="3">
        <f>IF(AD58="","",IF(OR(G58="Y",I58&gt;=5),"High",IF(I58&gt;=3,"Medium","Low")))</f>
        <v/>
      </c>
    </row>
    <row r="59">
      <c r="Y59" s="3">
        <f>IF(I59&gt;=3,10,IF(I59=2,5,0))+IF(J59="Y",10,IF(J59="Partial",5,0))+IF(K59="Y",10,0)</f>
        <v/>
      </c>
      <c r="Z59" s="3">
        <f>IF(M59="Y",IF(L59="Y",8,0)+IF(N59="Y",8,0)+IF(O59="Y",4,0),ROUND((IF(L59="Y",8,0)+IF(O59="Y",4,0))*20/12,1))</f>
        <v/>
      </c>
      <c r="AA59" s="3">
        <f>IF(P59="Y",8,IF(P59="Partial",4,0))+IF(Q59="Y",6,IF(Q59="Partial",3,0))+IF(R59="Y",6,0)</f>
        <v/>
      </c>
      <c r="AB59" s="3">
        <f>IF(S59="Y",5,0)+IF(T59="Y",5,0)+IF(U59&gt;=3,5,IF(U59&gt;=1,2,0))</f>
        <v/>
      </c>
      <c r="AC59" s="3">
        <f>IF(V59&gt;=2,8,IF(V59&gt;=1,5,0))+IF(W59="Y",4,0)+IF(X59="Y",3,0)</f>
        <v/>
      </c>
      <c r="AD59" s="3">
        <f>IF(A59="","",IF(OR(H59="Y",I59&lt;2),"",ROUND(Y59+Z59+AA59+AB59+AC59,0)))</f>
        <v/>
      </c>
      <c r="AE59" s="3">
        <f>IF(A59="","",IF(H59="Y","Not recommended: active recall",IF(I59&lt;2,"Not enough evidence yet","Scored")))</f>
        <v/>
      </c>
      <c r="AF59" s="3">
        <f>IF(AD59="","",IF(AD59&gt;=85,"Excellent",IF(AD59&gt;=70,"Good",IF(AD59&gt;=55,"Fair","Poor"))))</f>
        <v/>
      </c>
      <c r="AG59" s="3">
        <f>IF(AD59="","",IF(OR(G59="Y",I59&gt;=5),"High",IF(I59&gt;=3,"Medium","Low")))</f>
        <v/>
      </c>
    </row>
    <row r="60">
      <c r="Y60" s="3">
        <f>IF(I60&gt;=3,10,IF(I60=2,5,0))+IF(J60="Y",10,IF(J60="Partial",5,0))+IF(K60="Y",10,0)</f>
        <v/>
      </c>
      <c r="Z60" s="3">
        <f>IF(M60="Y",IF(L60="Y",8,0)+IF(N60="Y",8,0)+IF(O60="Y",4,0),ROUND((IF(L60="Y",8,0)+IF(O60="Y",4,0))*20/12,1))</f>
        <v/>
      </c>
      <c r="AA60" s="3">
        <f>IF(P60="Y",8,IF(P60="Partial",4,0))+IF(Q60="Y",6,IF(Q60="Partial",3,0))+IF(R60="Y",6,0)</f>
        <v/>
      </c>
      <c r="AB60" s="3">
        <f>IF(S60="Y",5,0)+IF(T60="Y",5,0)+IF(U60&gt;=3,5,IF(U60&gt;=1,2,0))</f>
        <v/>
      </c>
      <c r="AC60" s="3">
        <f>IF(V60&gt;=2,8,IF(V60&gt;=1,5,0))+IF(W60="Y",4,0)+IF(X60="Y",3,0)</f>
        <v/>
      </c>
      <c r="AD60" s="3">
        <f>IF(A60="","",IF(OR(H60="Y",I60&lt;2),"",ROUND(Y60+Z60+AA60+AB60+AC60,0)))</f>
        <v/>
      </c>
      <c r="AE60" s="3">
        <f>IF(A60="","",IF(H60="Y","Not recommended: active recall",IF(I60&lt;2,"Not enough evidence yet","Scored")))</f>
        <v/>
      </c>
      <c r="AF60" s="3">
        <f>IF(AD60="","",IF(AD60&gt;=85,"Excellent",IF(AD60&gt;=70,"Good",IF(AD60&gt;=55,"Fair","Poor"))))</f>
        <v/>
      </c>
      <c r="AG60" s="3">
        <f>IF(AD60="","",IF(OR(G60="Y",I60&gt;=5),"High",IF(I60&gt;=3,"Medium","Low")))</f>
        <v/>
      </c>
    </row>
    <row r="61">
      <c r="Y61" s="3">
        <f>IF(I61&gt;=3,10,IF(I61=2,5,0))+IF(J61="Y",10,IF(J61="Partial",5,0))+IF(K61="Y",10,0)</f>
        <v/>
      </c>
      <c r="Z61" s="3">
        <f>IF(M61="Y",IF(L61="Y",8,0)+IF(N61="Y",8,0)+IF(O61="Y",4,0),ROUND((IF(L61="Y",8,0)+IF(O61="Y",4,0))*20/12,1))</f>
        <v/>
      </c>
      <c r="AA61" s="3">
        <f>IF(P61="Y",8,IF(P61="Partial",4,0))+IF(Q61="Y",6,IF(Q61="Partial",3,0))+IF(R61="Y",6,0)</f>
        <v/>
      </c>
      <c r="AB61" s="3">
        <f>IF(S61="Y",5,0)+IF(T61="Y",5,0)+IF(U61&gt;=3,5,IF(U61&gt;=1,2,0))</f>
        <v/>
      </c>
      <c r="AC61" s="3">
        <f>IF(V61&gt;=2,8,IF(V61&gt;=1,5,0))+IF(W61="Y",4,0)+IF(X61="Y",3,0)</f>
        <v/>
      </c>
      <c r="AD61" s="3">
        <f>IF(A61="","",IF(OR(H61="Y",I61&lt;2),"",ROUND(Y61+Z61+AA61+AB61+AC61,0)))</f>
        <v/>
      </c>
      <c r="AE61" s="3">
        <f>IF(A61="","",IF(H61="Y","Not recommended: active recall",IF(I61&lt;2,"Not enough evidence yet","Scored")))</f>
        <v/>
      </c>
      <c r="AF61" s="3">
        <f>IF(AD61="","",IF(AD61&gt;=85,"Excellent",IF(AD61&gt;=70,"Good",IF(AD61&gt;=55,"Fair","Poor"))))</f>
        <v/>
      </c>
      <c r="AG61" s="3">
        <f>IF(AD61="","",IF(OR(G61="Y",I61&gt;=5),"High",IF(I61&gt;=3,"Medium","Low")))</f>
        <v/>
      </c>
    </row>
    <row r="62">
      <c r="Y62" s="3">
        <f>IF(I62&gt;=3,10,IF(I62=2,5,0))+IF(J62="Y",10,IF(J62="Partial",5,0))+IF(K62="Y",10,0)</f>
        <v/>
      </c>
      <c r="Z62" s="3">
        <f>IF(M62="Y",IF(L62="Y",8,0)+IF(N62="Y",8,0)+IF(O62="Y",4,0),ROUND((IF(L62="Y",8,0)+IF(O62="Y",4,0))*20/12,1))</f>
        <v/>
      </c>
      <c r="AA62" s="3">
        <f>IF(P62="Y",8,IF(P62="Partial",4,0))+IF(Q62="Y",6,IF(Q62="Partial",3,0))+IF(R62="Y",6,0)</f>
        <v/>
      </c>
      <c r="AB62" s="3">
        <f>IF(S62="Y",5,0)+IF(T62="Y",5,0)+IF(U62&gt;=3,5,IF(U62&gt;=1,2,0))</f>
        <v/>
      </c>
      <c r="AC62" s="3">
        <f>IF(V62&gt;=2,8,IF(V62&gt;=1,5,0))+IF(W62="Y",4,0)+IF(X62="Y",3,0)</f>
        <v/>
      </c>
      <c r="AD62" s="3">
        <f>IF(A62="","",IF(OR(H62="Y",I62&lt;2),"",ROUND(Y62+Z62+AA62+AB62+AC62,0)))</f>
        <v/>
      </c>
      <c r="AE62" s="3">
        <f>IF(A62="","",IF(H62="Y","Not recommended: active recall",IF(I62&lt;2,"Not enough evidence yet","Scored")))</f>
        <v/>
      </c>
      <c r="AF62" s="3">
        <f>IF(AD62="","",IF(AD62&gt;=85,"Excellent",IF(AD62&gt;=70,"Good",IF(AD62&gt;=55,"Fair","Poor"))))</f>
        <v/>
      </c>
      <c r="AG62" s="3">
        <f>IF(AD62="","",IF(OR(G62="Y",I62&gt;=5),"High",IF(I62&gt;=3,"Medium","Low")))</f>
        <v/>
      </c>
    </row>
    <row r="63">
      <c r="Y63" s="3">
        <f>IF(I63&gt;=3,10,IF(I63=2,5,0))+IF(J63="Y",10,IF(J63="Partial",5,0))+IF(K63="Y",10,0)</f>
        <v/>
      </c>
      <c r="Z63" s="3">
        <f>IF(M63="Y",IF(L63="Y",8,0)+IF(N63="Y",8,0)+IF(O63="Y",4,0),ROUND((IF(L63="Y",8,0)+IF(O63="Y",4,0))*20/12,1))</f>
        <v/>
      </c>
      <c r="AA63" s="3">
        <f>IF(P63="Y",8,IF(P63="Partial",4,0))+IF(Q63="Y",6,IF(Q63="Partial",3,0))+IF(R63="Y",6,0)</f>
        <v/>
      </c>
      <c r="AB63" s="3">
        <f>IF(S63="Y",5,0)+IF(T63="Y",5,0)+IF(U63&gt;=3,5,IF(U63&gt;=1,2,0))</f>
        <v/>
      </c>
      <c r="AC63" s="3">
        <f>IF(V63&gt;=2,8,IF(V63&gt;=1,5,0))+IF(W63="Y",4,0)+IF(X63="Y",3,0)</f>
        <v/>
      </c>
      <c r="AD63" s="3">
        <f>IF(A63="","",IF(OR(H63="Y",I63&lt;2),"",ROUND(Y63+Z63+AA63+AB63+AC63,0)))</f>
        <v/>
      </c>
      <c r="AE63" s="3">
        <f>IF(A63="","",IF(H63="Y","Not recommended: active recall",IF(I63&lt;2,"Not enough evidence yet","Scored")))</f>
        <v/>
      </c>
      <c r="AF63" s="3">
        <f>IF(AD63="","",IF(AD63&gt;=85,"Excellent",IF(AD63&gt;=70,"Good",IF(AD63&gt;=55,"Fair","Poor"))))</f>
        <v/>
      </c>
      <c r="AG63" s="3">
        <f>IF(AD63="","",IF(OR(G63="Y",I63&gt;=5),"High",IF(I63&gt;=3,"Medium","Low")))</f>
        <v/>
      </c>
    </row>
    <row r="64">
      <c r="Y64" s="3">
        <f>IF(I64&gt;=3,10,IF(I64=2,5,0))+IF(J64="Y",10,IF(J64="Partial",5,0))+IF(K64="Y",10,0)</f>
        <v/>
      </c>
      <c r="Z64" s="3">
        <f>IF(M64="Y",IF(L64="Y",8,0)+IF(N64="Y",8,0)+IF(O64="Y",4,0),ROUND((IF(L64="Y",8,0)+IF(O64="Y",4,0))*20/12,1))</f>
        <v/>
      </c>
      <c r="AA64" s="3">
        <f>IF(P64="Y",8,IF(P64="Partial",4,0))+IF(Q64="Y",6,IF(Q64="Partial",3,0))+IF(R64="Y",6,0)</f>
        <v/>
      </c>
      <c r="AB64" s="3">
        <f>IF(S64="Y",5,0)+IF(T64="Y",5,0)+IF(U64&gt;=3,5,IF(U64&gt;=1,2,0))</f>
        <v/>
      </c>
      <c r="AC64" s="3">
        <f>IF(V64&gt;=2,8,IF(V64&gt;=1,5,0))+IF(W64="Y",4,0)+IF(X64="Y",3,0)</f>
        <v/>
      </c>
      <c r="AD64" s="3">
        <f>IF(A64="","",IF(OR(H64="Y",I64&lt;2),"",ROUND(Y64+Z64+AA64+AB64+AC64,0)))</f>
        <v/>
      </c>
      <c r="AE64" s="3">
        <f>IF(A64="","",IF(H64="Y","Not recommended: active recall",IF(I64&lt;2,"Not enough evidence yet","Scored")))</f>
        <v/>
      </c>
      <c r="AF64" s="3">
        <f>IF(AD64="","",IF(AD64&gt;=85,"Excellent",IF(AD64&gt;=70,"Good",IF(AD64&gt;=55,"Fair","Poor"))))</f>
        <v/>
      </c>
      <c r="AG64" s="3">
        <f>IF(AD64="","",IF(OR(G64="Y",I64&gt;=5),"High",IF(I64&gt;=3,"Medium","Low")))</f>
        <v/>
      </c>
    </row>
    <row r="65">
      <c r="Y65" s="3">
        <f>IF(I65&gt;=3,10,IF(I65=2,5,0))+IF(J65="Y",10,IF(J65="Partial",5,0))+IF(K65="Y",10,0)</f>
        <v/>
      </c>
      <c r="Z65" s="3">
        <f>IF(M65="Y",IF(L65="Y",8,0)+IF(N65="Y",8,0)+IF(O65="Y",4,0),ROUND((IF(L65="Y",8,0)+IF(O65="Y",4,0))*20/12,1))</f>
        <v/>
      </c>
      <c r="AA65" s="3">
        <f>IF(P65="Y",8,IF(P65="Partial",4,0))+IF(Q65="Y",6,IF(Q65="Partial",3,0))+IF(R65="Y",6,0)</f>
        <v/>
      </c>
      <c r="AB65" s="3">
        <f>IF(S65="Y",5,0)+IF(T65="Y",5,0)+IF(U65&gt;=3,5,IF(U65&gt;=1,2,0))</f>
        <v/>
      </c>
      <c r="AC65" s="3">
        <f>IF(V65&gt;=2,8,IF(V65&gt;=1,5,0))+IF(W65="Y",4,0)+IF(X65="Y",3,0)</f>
        <v/>
      </c>
      <c r="AD65" s="3">
        <f>IF(A65="","",IF(OR(H65="Y",I65&lt;2),"",ROUND(Y65+Z65+AA65+AB65+AC65,0)))</f>
        <v/>
      </c>
      <c r="AE65" s="3">
        <f>IF(A65="","",IF(H65="Y","Not recommended: active recall",IF(I65&lt;2,"Not enough evidence yet","Scored")))</f>
        <v/>
      </c>
      <c r="AF65" s="3">
        <f>IF(AD65="","",IF(AD65&gt;=85,"Excellent",IF(AD65&gt;=70,"Good",IF(AD65&gt;=55,"Fair","Poor"))))</f>
        <v/>
      </c>
      <c r="AG65" s="3">
        <f>IF(AD65="","",IF(OR(G65="Y",I65&gt;=5),"High",IF(I65&gt;=3,"Medium","Low")))</f>
        <v/>
      </c>
    </row>
    <row r="66">
      <c r="Y66" s="3">
        <f>IF(I66&gt;=3,10,IF(I66=2,5,0))+IF(J66="Y",10,IF(J66="Partial",5,0))+IF(K66="Y",10,0)</f>
        <v/>
      </c>
      <c r="Z66" s="3">
        <f>IF(M66="Y",IF(L66="Y",8,0)+IF(N66="Y",8,0)+IF(O66="Y",4,0),ROUND((IF(L66="Y",8,0)+IF(O66="Y",4,0))*20/12,1))</f>
        <v/>
      </c>
      <c r="AA66" s="3">
        <f>IF(P66="Y",8,IF(P66="Partial",4,0))+IF(Q66="Y",6,IF(Q66="Partial",3,0))+IF(R66="Y",6,0)</f>
        <v/>
      </c>
      <c r="AB66" s="3">
        <f>IF(S66="Y",5,0)+IF(T66="Y",5,0)+IF(U66&gt;=3,5,IF(U66&gt;=1,2,0))</f>
        <v/>
      </c>
      <c r="AC66" s="3">
        <f>IF(V66&gt;=2,8,IF(V66&gt;=1,5,0))+IF(W66="Y",4,0)+IF(X66="Y",3,0)</f>
        <v/>
      </c>
      <c r="AD66" s="3">
        <f>IF(A66="","",IF(OR(H66="Y",I66&lt;2),"",ROUND(Y66+Z66+AA66+AB66+AC66,0)))</f>
        <v/>
      </c>
      <c r="AE66" s="3">
        <f>IF(A66="","",IF(H66="Y","Not recommended: active recall",IF(I66&lt;2,"Not enough evidence yet","Scored")))</f>
        <v/>
      </c>
      <c r="AF66" s="3">
        <f>IF(AD66="","",IF(AD66&gt;=85,"Excellent",IF(AD66&gt;=70,"Good",IF(AD66&gt;=55,"Fair","Poor"))))</f>
        <v/>
      </c>
      <c r="AG66" s="3">
        <f>IF(AD66="","",IF(OR(G66="Y",I66&gt;=5),"High",IF(I66&gt;=3,"Medium","Low")))</f>
        <v/>
      </c>
    </row>
    <row r="67">
      <c r="Y67" s="3">
        <f>IF(I67&gt;=3,10,IF(I67=2,5,0))+IF(J67="Y",10,IF(J67="Partial",5,0))+IF(K67="Y",10,0)</f>
        <v/>
      </c>
      <c r="Z67" s="3">
        <f>IF(M67="Y",IF(L67="Y",8,0)+IF(N67="Y",8,0)+IF(O67="Y",4,0),ROUND((IF(L67="Y",8,0)+IF(O67="Y",4,0))*20/12,1))</f>
        <v/>
      </c>
      <c r="AA67" s="3">
        <f>IF(P67="Y",8,IF(P67="Partial",4,0))+IF(Q67="Y",6,IF(Q67="Partial",3,0))+IF(R67="Y",6,0)</f>
        <v/>
      </c>
      <c r="AB67" s="3">
        <f>IF(S67="Y",5,0)+IF(T67="Y",5,0)+IF(U67&gt;=3,5,IF(U67&gt;=1,2,0))</f>
        <v/>
      </c>
      <c r="AC67" s="3">
        <f>IF(V67&gt;=2,8,IF(V67&gt;=1,5,0))+IF(W67="Y",4,0)+IF(X67="Y",3,0)</f>
        <v/>
      </c>
      <c r="AD67" s="3">
        <f>IF(A67="","",IF(OR(H67="Y",I67&lt;2),"",ROUND(Y67+Z67+AA67+AB67+AC67,0)))</f>
        <v/>
      </c>
      <c r="AE67" s="3">
        <f>IF(A67="","",IF(H67="Y","Not recommended: active recall",IF(I67&lt;2,"Not enough evidence yet","Scored")))</f>
        <v/>
      </c>
      <c r="AF67" s="3">
        <f>IF(AD67="","",IF(AD67&gt;=85,"Excellent",IF(AD67&gt;=70,"Good",IF(AD67&gt;=55,"Fair","Poor"))))</f>
        <v/>
      </c>
      <c r="AG67" s="3">
        <f>IF(AD67="","",IF(OR(G67="Y",I67&gt;=5),"High",IF(I67&gt;=3,"Medium","Low")))</f>
        <v/>
      </c>
    </row>
    <row r="68">
      <c r="Y68" s="3">
        <f>IF(I68&gt;=3,10,IF(I68=2,5,0))+IF(J68="Y",10,IF(J68="Partial",5,0))+IF(K68="Y",10,0)</f>
        <v/>
      </c>
      <c r="Z68" s="3">
        <f>IF(M68="Y",IF(L68="Y",8,0)+IF(N68="Y",8,0)+IF(O68="Y",4,0),ROUND((IF(L68="Y",8,0)+IF(O68="Y",4,0))*20/12,1))</f>
        <v/>
      </c>
      <c r="AA68" s="3">
        <f>IF(P68="Y",8,IF(P68="Partial",4,0))+IF(Q68="Y",6,IF(Q68="Partial",3,0))+IF(R68="Y",6,0)</f>
        <v/>
      </c>
      <c r="AB68" s="3">
        <f>IF(S68="Y",5,0)+IF(T68="Y",5,0)+IF(U68&gt;=3,5,IF(U68&gt;=1,2,0))</f>
        <v/>
      </c>
      <c r="AC68" s="3">
        <f>IF(V68&gt;=2,8,IF(V68&gt;=1,5,0))+IF(W68="Y",4,0)+IF(X68="Y",3,0)</f>
        <v/>
      </c>
      <c r="AD68" s="3">
        <f>IF(A68="","",IF(OR(H68="Y",I68&lt;2),"",ROUND(Y68+Z68+AA68+AB68+AC68,0)))</f>
        <v/>
      </c>
      <c r="AE68" s="3">
        <f>IF(A68="","",IF(H68="Y","Not recommended: active recall",IF(I68&lt;2,"Not enough evidence yet","Scored")))</f>
        <v/>
      </c>
      <c r="AF68" s="3">
        <f>IF(AD68="","",IF(AD68&gt;=85,"Excellent",IF(AD68&gt;=70,"Good",IF(AD68&gt;=55,"Fair","Poor"))))</f>
        <v/>
      </c>
      <c r="AG68" s="3">
        <f>IF(AD68="","",IF(OR(G68="Y",I68&gt;=5),"High",IF(I68&gt;=3,"Medium","Low")))</f>
        <v/>
      </c>
    </row>
    <row r="69">
      <c r="Y69" s="3">
        <f>IF(I69&gt;=3,10,IF(I69=2,5,0))+IF(J69="Y",10,IF(J69="Partial",5,0))+IF(K69="Y",10,0)</f>
        <v/>
      </c>
      <c r="Z69" s="3">
        <f>IF(M69="Y",IF(L69="Y",8,0)+IF(N69="Y",8,0)+IF(O69="Y",4,0),ROUND((IF(L69="Y",8,0)+IF(O69="Y",4,0))*20/12,1))</f>
        <v/>
      </c>
      <c r="AA69" s="3">
        <f>IF(P69="Y",8,IF(P69="Partial",4,0))+IF(Q69="Y",6,IF(Q69="Partial",3,0))+IF(R69="Y",6,0)</f>
        <v/>
      </c>
      <c r="AB69" s="3">
        <f>IF(S69="Y",5,0)+IF(T69="Y",5,0)+IF(U69&gt;=3,5,IF(U69&gt;=1,2,0))</f>
        <v/>
      </c>
      <c r="AC69" s="3">
        <f>IF(V69&gt;=2,8,IF(V69&gt;=1,5,0))+IF(W69="Y",4,0)+IF(X69="Y",3,0)</f>
        <v/>
      </c>
      <c r="AD69" s="3">
        <f>IF(A69="","",IF(OR(H69="Y",I69&lt;2),"",ROUND(Y69+Z69+AA69+AB69+AC69,0)))</f>
        <v/>
      </c>
      <c r="AE69" s="3">
        <f>IF(A69="","",IF(H69="Y","Not recommended: active recall",IF(I69&lt;2,"Not enough evidence yet","Scored")))</f>
        <v/>
      </c>
      <c r="AF69" s="3">
        <f>IF(AD69="","",IF(AD69&gt;=85,"Excellent",IF(AD69&gt;=70,"Good",IF(AD69&gt;=55,"Fair","Poor"))))</f>
        <v/>
      </c>
      <c r="AG69" s="3">
        <f>IF(AD69="","",IF(OR(G69="Y",I69&gt;=5),"High",IF(I69&gt;=3,"Medium","Low")))</f>
        <v/>
      </c>
    </row>
    <row r="70">
      <c r="Y70" s="3">
        <f>IF(I70&gt;=3,10,IF(I70=2,5,0))+IF(J70="Y",10,IF(J70="Partial",5,0))+IF(K70="Y",10,0)</f>
        <v/>
      </c>
      <c r="Z70" s="3">
        <f>IF(M70="Y",IF(L70="Y",8,0)+IF(N70="Y",8,0)+IF(O70="Y",4,0),ROUND((IF(L70="Y",8,0)+IF(O70="Y",4,0))*20/12,1))</f>
        <v/>
      </c>
      <c r="AA70" s="3">
        <f>IF(P70="Y",8,IF(P70="Partial",4,0))+IF(Q70="Y",6,IF(Q70="Partial",3,0))+IF(R70="Y",6,0)</f>
        <v/>
      </c>
      <c r="AB70" s="3">
        <f>IF(S70="Y",5,0)+IF(T70="Y",5,0)+IF(U70&gt;=3,5,IF(U70&gt;=1,2,0))</f>
        <v/>
      </c>
      <c r="AC70" s="3">
        <f>IF(V70&gt;=2,8,IF(V70&gt;=1,5,0))+IF(W70="Y",4,0)+IF(X70="Y",3,0)</f>
        <v/>
      </c>
      <c r="AD70" s="3">
        <f>IF(A70="","",IF(OR(H70="Y",I70&lt;2),"",ROUND(Y70+Z70+AA70+AB70+AC70,0)))</f>
        <v/>
      </c>
      <c r="AE70" s="3">
        <f>IF(A70="","",IF(H70="Y","Not recommended: active recall",IF(I70&lt;2,"Not enough evidence yet","Scored")))</f>
        <v/>
      </c>
      <c r="AF70" s="3">
        <f>IF(AD70="","",IF(AD70&gt;=85,"Excellent",IF(AD70&gt;=70,"Good",IF(AD70&gt;=55,"Fair","Poor"))))</f>
        <v/>
      </c>
      <c r="AG70" s="3">
        <f>IF(AD70="","",IF(OR(G70="Y",I70&gt;=5),"High",IF(I70&gt;=3,"Medium","Low")))</f>
        <v/>
      </c>
    </row>
    <row r="71">
      <c r="Y71" s="3">
        <f>IF(I71&gt;=3,10,IF(I71=2,5,0))+IF(J71="Y",10,IF(J71="Partial",5,0))+IF(K71="Y",10,0)</f>
        <v/>
      </c>
      <c r="Z71" s="3">
        <f>IF(M71="Y",IF(L71="Y",8,0)+IF(N71="Y",8,0)+IF(O71="Y",4,0),ROUND((IF(L71="Y",8,0)+IF(O71="Y",4,0))*20/12,1))</f>
        <v/>
      </c>
      <c r="AA71" s="3">
        <f>IF(P71="Y",8,IF(P71="Partial",4,0))+IF(Q71="Y",6,IF(Q71="Partial",3,0))+IF(R71="Y",6,0)</f>
        <v/>
      </c>
      <c r="AB71" s="3">
        <f>IF(S71="Y",5,0)+IF(T71="Y",5,0)+IF(U71&gt;=3,5,IF(U71&gt;=1,2,0))</f>
        <v/>
      </c>
      <c r="AC71" s="3">
        <f>IF(V71&gt;=2,8,IF(V71&gt;=1,5,0))+IF(W71="Y",4,0)+IF(X71="Y",3,0)</f>
        <v/>
      </c>
      <c r="AD71" s="3">
        <f>IF(A71="","",IF(OR(H71="Y",I71&lt;2),"",ROUND(Y71+Z71+AA71+AB71+AC71,0)))</f>
        <v/>
      </c>
      <c r="AE71" s="3">
        <f>IF(A71="","",IF(H71="Y","Not recommended: active recall",IF(I71&lt;2,"Not enough evidence yet","Scored")))</f>
        <v/>
      </c>
      <c r="AF71" s="3">
        <f>IF(AD71="","",IF(AD71&gt;=85,"Excellent",IF(AD71&gt;=70,"Good",IF(AD71&gt;=55,"Fair","Poor"))))</f>
        <v/>
      </c>
      <c r="AG71" s="3">
        <f>IF(AD71="","",IF(OR(G71="Y",I71&gt;=5),"High",IF(I71&gt;=3,"Medium","Low")))</f>
        <v/>
      </c>
    </row>
    <row r="72">
      <c r="Y72" s="3">
        <f>IF(I72&gt;=3,10,IF(I72=2,5,0))+IF(J72="Y",10,IF(J72="Partial",5,0))+IF(K72="Y",10,0)</f>
        <v/>
      </c>
      <c r="Z72" s="3">
        <f>IF(M72="Y",IF(L72="Y",8,0)+IF(N72="Y",8,0)+IF(O72="Y",4,0),ROUND((IF(L72="Y",8,0)+IF(O72="Y",4,0))*20/12,1))</f>
        <v/>
      </c>
      <c r="AA72" s="3">
        <f>IF(P72="Y",8,IF(P72="Partial",4,0))+IF(Q72="Y",6,IF(Q72="Partial",3,0))+IF(R72="Y",6,0)</f>
        <v/>
      </c>
      <c r="AB72" s="3">
        <f>IF(S72="Y",5,0)+IF(T72="Y",5,0)+IF(U72&gt;=3,5,IF(U72&gt;=1,2,0))</f>
        <v/>
      </c>
      <c r="AC72" s="3">
        <f>IF(V72&gt;=2,8,IF(V72&gt;=1,5,0))+IF(W72="Y",4,0)+IF(X72="Y",3,0)</f>
        <v/>
      </c>
      <c r="AD72" s="3">
        <f>IF(A72="","",IF(OR(H72="Y",I72&lt;2),"",ROUND(Y72+Z72+AA72+AB72+AC72,0)))</f>
        <v/>
      </c>
      <c r="AE72" s="3">
        <f>IF(A72="","",IF(H72="Y","Not recommended: active recall",IF(I72&lt;2,"Not enough evidence yet","Scored")))</f>
        <v/>
      </c>
      <c r="AF72" s="3">
        <f>IF(AD72="","",IF(AD72&gt;=85,"Excellent",IF(AD72&gt;=70,"Good",IF(AD72&gt;=55,"Fair","Poor"))))</f>
        <v/>
      </c>
      <c r="AG72" s="3">
        <f>IF(AD72="","",IF(OR(G72="Y",I72&gt;=5),"High",IF(I72&gt;=3,"Medium","Low")))</f>
        <v/>
      </c>
    </row>
    <row r="73">
      <c r="Y73" s="3">
        <f>IF(I73&gt;=3,10,IF(I73=2,5,0))+IF(J73="Y",10,IF(J73="Partial",5,0))+IF(K73="Y",10,0)</f>
        <v/>
      </c>
      <c r="Z73" s="3">
        <f>IF(M73="Y",IF(L73="Y",8,0)+IF(N73="Y",8,0)+IF(O73="Y",4,0),ROUND((IF(L73="Y",8,0)+IF(O73="Y",4,0))*20/12,1))</f>
        <v/>
      </c>
      <c r="AA73" s="3">
        <f>IF(P73="Y",8,IF(P73="Partial",4,0))+IF(Q73="Y",6,IF(Q73="Partial",3,0))+IF(R73="Y",6,0)</f>
        <v/>
      </c>
      <c r="AB73" s="3">
        <f>IF(S73="Y",5,0)+IF(T73="Y",5,0)+IF(U73&gt;=3,5,IF(U73&gt;=1,2,0))</f>
        <v/>
      </c>
      <c r="AC73" s="3">
        <f>IF(V73&gt;=2,8,IF(V73&gt;=1,5,0))+IF(W73="Y",4,0)+IF(X73="Y",3,0)</f>
        <v/>
      </c>
      <c r="AD73" s="3">
        <f>IF(A73="","",IF(OR(H73="Y",I73&lt;2),"",ROUND(Y73+Z73+AA73+AB73+AC73,0)))</f>
        <v/>
      </c>
      <c r="AE73" s="3">
        <f>IF(A73="","",IF(H73="Y","Not recommended: active recall",IF(I73&lt;2,"Not enough evidence yet","Scored")))</f>
        <v/>
      </c>
      <c r="AF73" s="3">
        <f>IF(AD73="","",IF(AD73&gt;=85,"Excellent",IF(AD73&gt;=70,"Good",IF(AD73&gt;=55,"Fair","Poor"))))</f>
        <v/>
      </c>
      <c r="AG73" s="3">
        <f>IF(AD73="","",IF(OR(G73="Y",I73&gt;=5),"High",IF(I73&gt;=3,"Medium","Low")))</f>
        <v/>
      </c>
    </row>
    <row r="74">
      <c r="Y74" s="3">
        <f>IF(I74&gt;=3,10,IF(I74=2,5,0))+IF(J74="Y",10,IF(J74="Partial",5,0))+IF(K74="Y",10,0)</f>
        <v/>
      </c>
      <c r="Z74" s="3">
        <f>IF(M74="Y",IF(L74="Y",8,0)+IF(N74="Y",8,0)+IF(O74="Y",4,0),ROUND((IF(L74="Y",8,0)+IF(O74="Y",4,0))*20/12,1))</f>
        <v/>
      </c>
      <c r="AA74" s="3">
        <f>IF(P74="Y",8,IF(P74="Partial",4,0))+IF(Q74="Y",6,IF(Q74="Partial",3,0))+IF(R74="Y",6,0)</f>
        <v/>
      </c>
      <c r="AB74" s="3">
        <f>IF(S74="Y",5,0)+IF(T74="Y",5,0)+IF(U74&gt;=3,5,IF(U74&gt;=1,2,0))</f>
        <v/>
      </c>
      <c r="AC74" s="3">
        <f>IF(V74&gt;=2,8,IF(V74&gt;=1,5,0))+IF(W74="Y",4,0)+IF(X74="Y",3,0)</f>
        <v/>
      </c>
      <c r="AD74" s="3">
        <f>IF(A74="","",IF(OR(H74="Y",I74&lt;2),"",ROUND(Y74+Z74+AA74+AB74+AC74,0)))</f>
        <v/>
      </c>
      <c r="AE74" s="3">
        <f>IF(A74="","",IF(H74="Y","Not recommended: active recall",IF(I74&lt;2,"Not enough evidence yet","Scored")))</f>
        <v/>
      </c>
      <c r="AF74" s="3">
        <f>IF(AD74="","",IF(AD74&gt;=85,"Excellent",IF(AD74&gt;=70,"Good",IF(AD74&gt;=55,"Fair","Poor"))))</f>
        <v/>
      </c>
      <c r="AG74" s="3">
        <f>IF(AD74="","",IF(OR(G74="Y",I74&gt;=5),"High",IF(I74&gt;=3,"Medium","Low")))</f>
        <v/>
      </c>
    </row>
    <row r="75">
      <c r="Y75" s="3">
        <f>IF(I75&gt;=3,10,IF(I75=2,5,0))+IF(J75="Y",10,IF(J75="Partial",5,0))+IF(K75="Y",10,0)</f>
        <v/>
      </c>
      <c r="Z75" s="3">
        <f>IF(M75="Y",IF(L75="Y",8,0)+IF(N75="Y",8,0)+IF(O75="Y",4,0),ROUND((IF(L75="Y",8,0)+IF(O75="Y",4,0))*20/12,1))</f>
        <v/>
      </c>
      <c r="AA75" s="3">
        <f>IF(P75="Y",8,IF(P75="Partial",4,0))+IF(Q75="Y",6,IF(Q75="Partial",3,0))+IF(R75="Y",6,0)</f>
        <v/>
      </c>
      <c r="AB75" s="3">
        <f>IF(S75="Y",5,0)+IF(T75="Y",5,0)+IF(U75&gt;=3,5,IF(U75&gt;=1,2,0))</f>
        <v/>
      </c>
      <c r="AC75" s="3">
        <f>IF(V75&gt;=2,8,IF(V75&gt;=1,5,0))+IF(W75="Y",4,0)+IF(X75="Y",3,0)</f>
        <v/>
      </c>
      <c r="AD75" s="3">
        <f>IF(A75="","",IF(OR(H75="Y",I75&lt;2),"",ROUND(Y75+Z75+AA75+AB75+AC75,0)))</f>
        <v/>
      </c>
      <c r="AE75" s="3">
        <f>IF(A75="","",IF(H75="Y","Not recommended: active recall",IF(I75&lt;2,"Not enough evidence yet","Scored")))</f>
        <v/>
      </c>
      <c r="AF75" s="3">
        <f>IF(AD75="","",IF(AD75&gt;=85,"Excellent",IF(AD75&gt;=70,"Good",IF(AD75&gt;=55,"Fair","Poor"))))</f>
        <v/>
      </c>
      <c r="AG75" s="3">
        <f>IF(AD75="","",IF(OR(G75="Y",I75&gt;=5),"High",IF(I75&gt;=3,"Medium","Low")))</f>
        <v/>
      </c>
    </row>
    <row r="76">
      <c r="Y76" s="3">
        <f>IF(I76&gt;=3,10,IF(I76=2,5,0))+IF(J76="Y",10,IF(J76="Partial",5,0))+IF(K76="Y",10,0)</f>
        <v/>
      </c>
      <c r="Z76" s="3">
        <f>IF(M76="Y",IF(L76="Y",8,0)+IF(N76="Y",8,0)+IF(O76="Y",4,0),ROUND((IF(L76="Y",8,0)+IF(O76="Y",4,0))*20/12,1))</f>
        <v/>
      </c>
      <c r="AA76" s="3">
        <f>IF(P76="Y",8,IF(P76="Partial",4,0))+IF(Q76="Y",6,IF(Q76="Partial",3,0))+IF(R76="Y",6,0)</f>
        <v/>
      </c>
      <c r="AB76" s="3">
        <f>IF(S76="Y",5,0)+IF(T76="Y",5,0)+IF(U76&gt;=3,5,IF(U76&gt;=1,2,0))</f>
        <v/>
      </c>
      <c r="AC76" s="3">
        <f>IF(V76&gt;=2,8,IF(V76&gt;=1,5,0))+IF(W76="Y",4,0)+IF(X76="Y",3,0)</f>
        <v/>
      </c>
      <c r="AD76" s="3">
        <f>IF(A76="","",IF(OR(H76="Y",I76&lt;2),"",ROUND(Y76+Z76+AA76+AB76+AC76,0)))</f>
        <v/>
      </c>
      <c r="AE76" s="3">
        <f>IF(A76="","",IF(H76="Y","Not recommended: active recall",IF(I76&lt;2,"Not enough evidence yet","Scored")))</f>
        <v/>
      </c>
      <c r="AF76" s="3">
        <f>IF(AD76="","",IF(AD76&gt;=85,"Excellent",IF(AD76&gt;=70,"Good",IF(AD76&gt;=55,"Fair","Poor"))))</f>
        <v/>
      </c>
      <c r="AG76" s="3">
        <f>IF(AD76="","",IF(OR(G76="Y",I76&gt;=5),"High",IF(I76&gt;=3,"Medium","Low")))</f>
        <v/>
      </c>
    </row>
    <row r="77">
      <c r="Y77" s="3">
        <f>IF(I77&gt;=3,10,IF(I77=2,5,0))+IF(J77="Y",10,IF(J77="Partial",5,0))+IF(K77="Y",10,0)</f>
        <v/>
      </c>
      <c r="Z77" s="3">
        <f>IF(M77="Y",IF(L77="Y",8,0)+IF(N77="Y",8,0)+IF(O77="Y",4,0),ROUND((IF(L77="Y",8,0)+IF(O77="Y",4,0))*20/12,1))</f>
        <v/>
      </c>
      <c r="AA77" s="3">
        <f>IF(P77="Y",8,IF(P77="Partial",4,0))+IF(Q77="Y",6,IF(Q77="Partial",3,0))+IF(R77="Y",6,0)</f>
        <v/>
      </c>
      <c r="AB77" s="3">
        <f>IF(S77="Y",5,0)+IF(T77="Y",5,0)+IF(U77&gt;=3,5,IF(U77&gt;=1,2,0))</f>
        <v/>
      </c>
      <c r="AC77" s="3">
        <f>IF(V77&gt;=2,8,IF(V77&gt;=1,5,0))+IF(W77="Y",4,0)+IF(X77="Y",3,0)</f>
        <v/>
      </c>
      <c r="AD77" s="3">
        <f>IF(A77="","",IF(OR(H77="Y",I77&lt;2),"",ROUND(Y77+Z77+AA77+AB77+AC77,0)))</f>
        <v/>
      </c>
      <c r="AE77" s="3">
        <f>IF(A77="","",IF(H77="Y","Not recommended: active recall",IF(I77&lt;2,"Not enough evidence yet","Scored")))</f>
        <v/>
      </c>
      <c r="AF77" s="3">
        <f>IF(AD77="","",IF(AD77&gt;=85,"Excellent",IF(AD77&gt;=70,"Good",IF(AD77&gt;=55,"Fair","Poor"))))</f>
        <v/>
      </c>
      <c r="AG77" s="3">
        <f>IF(AD77="","",IF(OR(G77="Y",I77&gt;=5),"High",IF(I77&gt;=3,"Medium","Low")))</f>
        <v/>
      </c>
    </row>
    <row r="78">
      <c r="Y78" s="3">
        <f>IF(I78&gt;=3,10,IF(I78=2,5,0))+IF(J78="Y",10,IF(J78="Partial",5,0))+IF(K78="Y",10,0)</f>
        <v/>
      </c>
      <c r="Z78" s="3">
        <f>IF(M78="Y",IF(L78="Y",8,0)+IF(N78="Y",8,0)+IF(O78="Y",4,0),ROUND((IF(L78="Y",8,0)+IF(O78="Y",4,0))*20/12,1))</f>
        <v/>
      </c>
      <c r="AA78" s="3">
        <f>IF(P78="Y",8,IF(P78="Partial",4,0))+IF(Q78="Y",6,IF(Q78="Partial",3,0))+IF(R78="Y",6,0)</f>
        <v/>
      </c>
      <c r="AB78" s="3">
        <f>IF(S78="Y",5,0)+IF(T78="Y",5,0)+IF(U78&gt;=3,5,IF(U78&gt;=1,2,0))</f>
        <v/>
      </c>
      <c r="AC78" s="3">
        <f>IF(V78&gt;=2,8,IF(V78&gt;=1,5,0))+IF(W78="Y",4,0)+IF(X78="Y",3,0)</f>
        <v/>
      </c>
      <c r="AD78" s="3">
        <f>IF(A78="","",IF(OR(H78="Y",I78&lt;2),"",ROUND(Y78+Z78+AA78+AB78+AC78,0)))</f>
        <v/>
      </c>
      <c r="AE78" s="3">
        <f>IF(A78="","",IF(H78="Y","Not recommended: active recall",IF(I78&lt;2,"Not enough evidence yet","Scored")))</f>
        <v/>
      </c>
      <c r="AF78" s="3">
        <f>IF(AD78="","",IF(AD78&gt;=85,"Excellent",IF(AD78&gt;=70,"Good",IF(AD78&gt;=55,"Fair","Poor"))))</f>
        <v/>
      </c>
      <c r="AG78" s="3">
        <f>IF(AD78="","",IF(OR(G78="Y",I78&gt;=5),"High",IF(I78&gt;=3,"Medium","Low")))</f>
        <v/>
      </c>
    </row>
    <row r="79">
      <c r="Y79" s="3">
        <f>IF(I79&gt;=3,10,IF(I79=2,5,0))+IF(J79="Y",10,IF(J79="Partial",5,0))+IF(K79="Y",10,0)</f>
        <v/>
      </c>
      <c r="Z79" s="3">
        <f>IF(M79="Y",IF(L79="Y",8,0)+IF(N79="Y",8,0)+IF(O79="Y",4,0),ROUND((IF(L79="Y",8,0)+IF(O79="Y",4,0))*20/12,1))</f>
        <v/>
      </c>
      <c r="AA79" s="3">
        <f>IF(P79="Y",8,IF(P79="Partial",4,0))+IF(Q79="Y",6,IF(Q79="Partial",3,0))+IF(R79="Y",6,0)</f>
        <v/>
      </c>
      <c r="AB79" s="3">
        <f>IF(S79="Y",5,0)+IF(T79="Y",5,0)+IF(U79&gt;=3,5,IF(U79&gt;=1,2,0))</f>
        <v/>
      </c>
      <c r="AC79" s="3">
        <f>IF(V79&gt;=2,8,IF(V79&gt;=1,5,0))+IF(W79="Y",4,0)+IF(X79="Y",3,0)</f>
        <v/>
      </c>
      <c r="AD79" s="3">
        <f>IF(A79="","",IF(OR(H79="Y",I79&lt;2),"",ROUND(Y79+Z79+AA79+AB79+AC79,0)))</f>
        <v/>
      </c>
      <c r="AE79" s="3">
        <f>IF(A79="","",IF(H79="Y","Not recommended: active recall",IF(I79&lt;2,"Not enough evidence yet","Scored")))</f>
        <v/>
      </c>
      <c r="AF79" s="3">
        <f>IF(AD79="","",IF(AD79&gt;=85,"Excellent",IF(AD79&gt;=70,"Good",IF(AD79&gt;=55,"Fair","Poor"))))</f>
        <v/>
      </c>
      <c r="AG79" s="3">
        <f>IF(AD79="","",IF(OR(G79="Y",I79&gt;=5),"High",IF(I79&gt;=3,"Medium","Low")))</f>
        <v/>
      </c>
    </row>
    <row r="80">
      <c r="Y80" s="3">
        <f>IF(I80&gt;=3,10,IF(I80=2,5,0))+IF(J80="Y",10,IF(J80="Partial",5,0))+IF(K80="Y",10,0)</f>
        <v/>
      </c>
      <c r="Z80" s="3">
        <f>IF(M80="Y",IF(L80="Y",8,0)+IF(N80="Y",8,0)+IF(O80="Y",4,0),ROUND((IF(L80="Y",8,0)+IF(O80="Y",4,0))*20/12,1))</f>
        <v/>
      </c>
      <c r="AA80" s="3">
        <f>IF(P80="Y",8,IF(P80="Partial",4,0))+IF(Q80="Y",6,IF(Q80="Partial",3,0))+IF(R80="Y",6,0)</f>
        <v/>
      </c>
      <c r="AB80" s="3">
        <f>IF(S80="Y",5,0)+IF(T80="Y",5,0)+IF(U80&gt;=3,5,IF(U80&gt;=1,2,0))</f>
        <v/>
      </c>
      <c r="AC80" s="3">
        <f>IF(V80&gt;=2,8,IF(V80&gt;=1,5,0))+IF(W80="Y",4,0)+IF(X80="Y",3,0)</f>
        <v/>
      </c>
      <c r="AD80" s="3">
        <f>IF(A80="","",IF(OR(H80="Y",I80&lt;2),"",ROUND(Y80+Z80+AA80+AB80+AC80,0)))</f>
        <v/>
      </c>
      <c r="AE80" s="3">
        <f>IF(A80="","",IF(H80="Y","Not recommended: active recall",IF(I80&lt;2,"Not enough evidence yet","Scored")))</f>
        <v/>
      </c>
      <c r="AF80" s="3">
        <f>IF(AD80="","",IF(AD80&gt;=85,"Excellent",IF(AD80&gt;=70,"Good",IF(AD80&gt;=55,"Fair","Poor"))))</f>
        <v/>
      </c>
      <c r="AG80" s="3">
        <f>IF(AD80="","",IF(OR(G80="Y",I80&gt;=5),"High",IF(I80&gt;=3,"Medium","Low")))</f>
        <v/>
      </c>
    </row>
    <row r="81">
      <c r="Y81" s="3">
        <f>IF(I81&gt;=3,10,IF(I81=2,5,0))+IF(J81="Y",10,IF(J81="Partial",5,0))+IF(K81="Y",10,0)</f>
        <v/>
      </c>
      <c r="Z81" s="3">
        <f>IF(M81="Y",IF(L81="Y",8,0)+IF(N81="Y",8,0)+IF(O81="Y",4,0),ROUND((IF(L81="Y",8,0)+IF(O81="Y",4,0))*20/12,1))</f>
        <v/>
      </c>
      <c r="AA81" s="3">
        <f>IF(P81="Y",8,IF(P81="Partial",4,0))+IF(Q81="Y",6,IF(Q81="Partial",3,0))+IF(R81="Y",6,0)</f>
        <v/>
      </c>
      <c r="AB81" s="3">
        <f>IF(S81="Y",5,0)+IF(T81="Y",5,0)+IF(U81&gt;=3,5,IF(U81&gt;=1,2,0))</f>
        <v/>
      </c>
      <c r="AC81" s="3">
        <f>IF(V81&gt;=2,8,IF(V81&gt;=1,5,0))+IF(W81="Y",4,0)+IF(X81="Y",3,0)</f>
        <v/>
      </c>
      <c r="AD81" s="3">
        <f>IF(A81="","",IF(OR(H81="Y",I81&lt;2),"",ROUND(Y81+Z81+AA81+AB81+AC81,0)))</f>
        <v/>
      </c>
      <c r="AE81" s="3">
        <f>IF(A81="","",IF(H81="Y","Not recommended: active recall",IF(I81&lt;2,"Not enough evidence yet","Scored")))</f>
        <v/>
      </c>
      <c r="AF81" s="3">
        <f>IF(AD81="","",IF(AD81&gt;=85,"Excellent",IF(AD81&gt;=70,"Good",IF(AD81&gt;=55,"Fair","Poor"))))</f>
        <v/>
      </c>
      <c r="AG81" s="3">
        <f>IF(AD81="","",IF(OR(G81="Y",I81&gt;=5),"High",IF(I81&gt;=3,"Medium","Low")))</f>
        <v/>
      </c>
    </row>
    <row r="82">
      <c r="Y82" s="3">
        <f>IF(I82&gt;=3,10,IF(I82=2,5,0))+IF(J82="Y",10,IF(J82="Partial",5,0))+IF(K82="Y",10,0)</f>
        <v/>
      </c>
      <c r="Z82" s="3">
        <f>IF(M82="Y",IF(L82="Y",8,0)+IF(N82="Y",8,0)+IF(O82="Y",4,0),ROUND((IF(L82="Y",8,0)+IF(O82="Y",4,0))*20/12,1))</f>
        <v/>
      </c>
      <c r="AA82" s="3">
        <f>IF(P82="Y",8,IF(P82="Partial",4,0))+IF(Q82="Y",6,IF(Q82="Partial",3,0))+IF(R82="Y",6,0)</f>
        <v/>
      </c>
      <c r="AB82" s="3">
        <f>IF(S82="Y",5,0)+IF(T82="Y",5,0)+IF(U82&gt;=3,5,IF(U82&gt;=1,2,0))</f>
        <v/>
      </c>
      <c r="AC82" s="3">
        <f>IF(V82&gt;=2,8,IF(V82&gt;=1,5,0))+IF(W82="Y",4,0)+IF(X82="Y",3,0)</f>
        <v/>
      </c>
      <c r="AD82" s="3">
        <f>IF(A82="","",IF(OR(H82="Y",I82&lt;2),"",ROUND(Y82+Z82+AA82+AB82+AC82,0)))</f>
        <v/>
      </c>
      <c r="AE82" s="3">
        <f>IF(A82="","",IF(H82="Y","Not recommended: active recall",IF(I82&lt;2,"Not enough evidence yet","Scored")))</f>
        <v/>
      </c>
      <c r="AF82" s="3">
        <f>IF(AD82="","",IF(AD82&gt;=85,"Excellent",IF(AD82&gt;=70,"Good",IF(AD82&gt;=55,"Fair","Poor"))))</f>
        <v/>
      </c>
      <c r="AG82" s="3">
        <f>IF(AD82="","",IF(OR(G82="Y",I82&gt;=5),"High",IF(I82&gt;=3,"Medium","Low")))</f>
        <v/>
      </c>
    </row>
    <row r="83">
      <c r="Y83" s="3">
        <f>IF(I83&gt;=3,10,IF(I83=2,5,0))+IF(J83="Y",10,IF(J83="Partial",5,0))+IF(K83="Y",10,0)</f>
        <v/>
      </c>
      <c r="Z83" s="3">
        <f>IF(M83="Y",IF(L83="Y",8,0)+IF(N83="Y",8,0)+IF(O83="Y",4,0),ROUND((IF(L83="Y",8,0)+IF(O83="Y",4,0))*20/12,1))</f>
        <v/>
      </c>
      <c r="AA83" s="3">
        <f>IF(P83="Y",8,IF(P83="Partial",4,0))+IF(Q83="Y",6,IF(Q83="Partial",3,0))+IF(R83="Y",6,0)</f>
        <v/>
      </c>
      <c r="AB83" s="3">
        <f>IF(S83="Y",5,0)+IF(T83="Y",5,0)+IF(U83&gt;=3,5,IF(U83&gt;=1,2,0))</f>
        <v/>
      </c>
      <c r="AC83" s="3">
        <f>IF(V83&gt;=2,8,IF(V83&gt;=1,5,0))+IF(W83="Y",4,0)+IF(X83="Y",3,0)</f>
        <v/>
      </c>
      <c r="AD83" s="3">
        <f>IF(A83="","",IF(OR(H83="Y",I83&lt;2),"",ROUND(Y83+Z83+AA83+AB83+AC83,0)))</f>
        <v/>
      </c>
      <c r="AE83" s="3">
        <f>IF(A83="","",IF(H83="Y","Not recommended: active recall",IF(I83&lt;2,"Not enough evidence yet","Scored")))</f>
        <v/>
      </c>
      <c r="AF83" s="3">
        <f>IF(AD83="","",IF(AD83&gt;=85,"Excellent",IF(AD83&gt;=70,"Good",IF(AD83&gt;=55,"Fair","Poor"))))</f>
        <v/>
      </c>
      <c r="AG83" s="3">
        <f>IF(AD83="","",IF(OR(G83="Y",I83&gt;=5),"High",IF(I83&gt;=3,"Medium","Low")))</f>
        <v/>
      </c>
    </row>
    <row r="84">
      <c r="Y84" s="3">
        <f>IF(I84&gt;=3,10,IF(I84=2,5,0))+IF(J84="Y",10,IF(J84="Partial",5,0))+IF(K84="Y",10,0)</f>
        <v/>
      </c>
      <c r="Z84" s="3">
        <f>IF(M84="Y",IF(L84="Y",8,0)+IF(N84="Y",8,0)+IF(O84="Y",4,0),ROUND((IF(L84="Y",8,0)+IF(O84="Y",4,0))*20/12,1))</f>
        <v/>
      </c>
      <c r="AA84" s="3">
        <f>IF(P84="Y",8,IF(P84="Partial",4,0))+IF(Q84="Y",6,IF(Q84="Partial",3,0))+IF(R84="Y",6,0)</f>
        <v/>
      </c>
      <c r="AB84" s="3">
        <f>IF(S84="Y",5,0)+IF(T84="Y",5,0)+IF(U84&gt;=3,5,IF(U84&gt;=1,2,0))</f>
        <v/>
      </c>
      <c r="AC84" s="3">
        <f>IF(V84&gt;=2,8,IF(V84&gt;=1,5,0))+IF(W84="Y",4,0)+IF(X84="Y",3,0)</f>
        <v/>
      </c>
      <c r="AD84" s="3">
        <f>IF(A84="","",IF(OR(H84="Y",I84&lt;2),"",ROUND(Y84+Z84+AA84+AB84+AC84,0)))</f>
        <v/>
      </c>
      <c r="AE84" s="3">
        <f>IF(A84="","",IF(H84="Y","Not recommended: active recall",IF(I84&lt;2,"Not enough evidence yet","Scored")))</f>
        <v/>
      </c>
      <c r="AF84" s="3">
        <f>IF(AD84="","",IF(AD84&gt;=85,"Excellent",IF(AD84&gt;=70,"Good",IF(AD84&gt;=55,"Fair","Poor"))))</f>
        <v/>
      </c>
      <c r="AG84" s="3">
        <f>IF(AD84="","",IF(OR(G84="Y",I84&gt;=5),"High",IF(I84&gt;=3,"Medium","Low")))</f>
        <v/>
      </c>
    </row>
    <row r="85">
      <c r="Y85" s="3">
        <f>IF(I85&gt;=3,10,IF(I85=2,5,0))+IF(J85="Y",10,IF(J85="Partial",5,0))+IF(K85="Y",10,0)</f>
        <v/>
      </c>
      <c r="Z85" s="3">
        <f>IF(M85="Y",IF(L85="Y",8,0)+IF(N85="Y",8,0)+IF(O85="Y",4,0),ROUND((IF(L85="Y",8,0)+IF(O85="Y",4,0))*20/12,1))</f>
        <v/>
      </c>
      <c r="AA85" s="3">
        <f>IF(P85="Y",8,IF(P85="Partial",4,0))+IF(Q85="Y",6,IF(Q85="Partial",3,0))+IF(R85="Y",6,0)</f>
        <v/>
      </c>
      <c r="AB85" s="3">
        <f>IF(S85="Y",5,0)+IF(T85="Y",5,0)+IF(U85&gt;=3,5,IF(U85&gt;=1,2,0))</f>
        <v/>
      </c>
      <c r="AC85" s="3">
        <f>IF(V85&gt;=2,8,IF(V85&gt;=1,5,0))+IF(W85="Y",4,0)+IF(X85="Y",3,0)</f>
        <v/>
      </c>
      <c r="AD85" s="3">
        <f>IF(A85="","",IF(OR(H85="Y",I85&lt;2),"",ROUND(Y85+Z85+AA85+AB85+AC85,0)))</f>
        <v/>
      </c>
      <c r="AE85" s="3">
        <f>IF(A85="","",IF(H85="Y","Not recommended: active recall",IF(I85&lt;2,"Not enough evidence yet","Scored")))</f>
        <v/>
      </c>
      <c r="AF85" s="3">
        <f>IF(AD85="","",IF(AD85&gt;=85,"Excellent",IF(AD85&gt;=70,"Good",IF(AD85&gt;=55,"Fair","Poor"))))</f>
        <v/>
      </c>
      <c r="AG85" s="3">
        <f>IF(AD85="","",IF(OR(G85="Y",I85&gt;=5),"High",IF(I85&gt;=3,"Medium","Low")))</f>
        <v/>
      </c>
    </row>
    <row r="86">
      <c r="Y86" s="3">
        <f>IF(I86&gt;=3,10,IF(I86=2,5,0))+IF(J86="Y",10,IF(J86="Partial",5,0))+IF(K86="Y",10,0)</f>
        <v/>
      </c>
      <c r="Z86" s="3">
        <f>IF(M86="Y",IF(L86="Y",8,0)+IF(N86="Y",8,0)+IF(O86="Y",4,0),ROUND((IF(L86="Y",8,0)+IF(O86="Y",4,0))*20/12,1))</f>
        <v/>
      </c>
      <c r="AA86" s="3">
        <f>IF(P86="Y",8,IF(P86="Partial",4,0))+IF(Q86="Y",6,IF(Q86="Partial",3,0))+IF(R86="Y",6,0)</f>
        <v/>
      </c>
      <c r="AB86" s="3">
        <f>IF(S86="Y",5,0)+IF(T86="Y",5,0)+IF(U86&gt;=3,5,IF(U86&gt;=1,2,0))</f>
        <v/>
      </c>
      <c r="AC86" s="3">
        <f>IF(V86&gt;=2,8,IF(V86&gt;=1,5,0))+IF(W86="Y",4,0)+IF(X86="Y",3,0)</f>
        <v/>
      </c>
      <c r="AD86" s="3">
        <f>IF(A86="","",IF(OR(H86="Y",I86&lt;2),"",ROUND(Y86+Z86+AA86+AB86+AC86,0)))</f>
        <v/>
      </c>
      <c r="AE86" s="3">
        <f>IF(A86="","",IF(H86="Y","Not recommended: active recall",IF(I86&lt;2,"Not enough evidence yet","Scored")))</f>
        <v/>
      </c>
      <c r="AF86" s="3">
        <f>IF(AD86="","",IF(AD86&gt;=85,"Excellent",IF(AD86&gt;=70,"Good",IF(AD86&gt;=55,"Fair","Poor"))))</f>
        <v/>
      </c>
      <c r="AG86" s="3">
        <f>IF(AD86="","",IF(OR(G86="Y",I86&gt;=5),"High",IF(I86&gt;=3,"Medium","Low")))</f>
        <v/>
      </c>
    </row>
    <row r="87">
      <c r="Y87" s="3">
        <f>IF(I87&gt;=3,10,IF(I87=2,5,0))+IF(J87="Y",10,IF(J87="Partial",5,0))+IF(K87="Y",10,0)</f>
        <v/>
      </c>
      <c r="Z87" s="3">
        <f>IF(M87="Y",IF(L87="Y",8,0)+IF(N87="Y",8,0)+IF(O87="Y",4,0),ROUND((IF(L87="Y",8,0)+IF(O87="Y",4,0))*20/12,1))</f>
        <v/>
      </c>
      <c r="AA87" s="3">
        <f>IF(P87="Y",8,IF(P87="Partial",4,0))+IF(Q87="Y",6,IF(Q87="Partial",3,0))+IF(R87="Y",6,0)</f>
        <v/>
      </c>
      <c r="AB87" s="3">
        <f>IF(S87="Y",5,0)+IF(T87="Y",5,0)+IF(U87&gt;=3,5,IF(U87&gt;=1,2,0))</f>
        <v/>
      </c>
      <c r="AC87" s="3">
        <f>IF(V87&gt;=2,8,IF(V87&gt;=1,5,0))+IF(W87="Y",4,0)+IF(X87="Y",3,0)</f>
        <v/>
      </c>
      <c r="AD87" s="3">
        <f>IF(A87="","",IF(OR(H87="Y",I87&lt;2),"",ROUND(Y87+Z87+AA87+AB87+AC87,0)))</f>
        <v/>
      </c>
      <c r="AE87" s="3">
        <f>IF(A87="","",IF(H87="Y","Not recommended: active recall",IF(I87&lt;2,"Not enough evidence yet","Scored")))</f>
        <v/>
      </c>
      <c r="AF87" s="3">
        <f>IF(AD87="","",IF(AD87&gt;=85,"Excellent",IF(AD87&gt;=70,"Good",IF(AD87&gt;=55,"Fair","Poor"))))</f>
        <v/>
      </c>
      <c r="AG87" s="3">
        <f>IF(AD87="","",IF(OR(G87="Y",I87&gt;=5),"High",IF(I87&gt;=3,"Medium","Low")))</f>
        <v/>
      </c>
    </row>
    <row r="88">
      <c r="Y88" s="3">
        <f>IF(I88&gt;=3,10,IF(I88=2,5,0))+IF(J88="Y",10,IF(J88="Partial",5,0))+IF(K88="Y",10,0)</f>
        <v/>
      </c>
      <c r="Z88" s="3">
        <f>IF(M88="Y",IF(L88="Y",8,0)+IF(N88="Y",8,0)+IF(O88="Y",4,0),ROUND((IF(L88="Y",8,0)+IF(O88="Y",4,0))*20/12,1))</f>
        <v/>
      </c>
      <c r="AA88" s="3">
        <f>IF(P88="Y",8,IF(P88="Partial",4,0))+IF(Q88="Y",6,IF(Q88="Partial",3,0))+IF(R88="Y",6,0)</f>
        <v/>
      </c>
      <c r="AB88" s="3">
        <f>IF(S88="Y",5,0)+IF(T88="Y",5,0)+IF(U88&gt;=3,5,IF(U88&gt;=1,2,0))</f>
        <v/>
      </c>
      <c r="AC88" s="3">
        <f>IF(V88&gt;=2,8,IF(V88&gt;=1,5,0))+IF(W88="Y",4,0)+IF(X88="Y",3,0)</f>
        <v/>
      </c>
      <c r="AD88" s="3">
        <f>IF(A88="","",IF(OR(H88="Y",I88&lt;2),"",ROUND(Y88+Z88+AA88+AB88+AC88,0)))</f>
        <v/>
      </c>
      <c r="AE88" s="3">
        <f>IF(A88="","",IF(H88="Y","Not recommended: active recall",IF(I88&lt;2,"Not enough evidence yet","Scored")))</f>
        <v/>
      </c>
      <c r="AF88" s="3">
        <f>IF(AD88="","",IF(AD88&gt;=85,"Excellent",IF(AD88&gt;=70,"Good",IF(AD88&gt;=55,"Fair","Poor"))))</f>
        <v/>
      </c>
      <c r="AG88" s="3">
        <f>IF(AD88="","",IF(OR(G88="Y",I88&gt;=5),"High",IF(I88&gt;=3,"Medium","Low")))</f>
        <v/>
      </c>
    </row>
    <row r="89">
      <c r="Y89" s="3">
        <f>IF(I89&gt;=3,10,IF(I89=2,5,0))+IF(J89="Y",10,IF(J89="Partial",5,0))+IF(K89="Y",10,0)</f>
        <v/>
      </c>
      <c r="Z89" s="3">
        <f>IF(M89="Y",IF(L89="Y",8,0)+IF(N89="Y",8,0)+IF(O89="Y",4,0),ROUND((IF(L89="Y",8,0)+IF(O89="Y",4,0))*20/12,1))</f>
        <v/>
      </c>
      <c r="AA89" s="3">
        <f>IF(P89="Y",8,IF(P89="Partial",4,0))+IF(Q89="Y",6,IF(Q89="Partial",3,0))+IF(R89="Y",6,0)</f>
        <v/>
      </c>
      <c r="AB89" s="3">
        <f>IF(S89="Y",5,0)+IF(T89="Y",5,0)+IF(U89&gt;=3,5,IF(U89&gt;=1,2,0))</f>
        <v/>
      </c>
      <c r="AC89" s="3">
        <f>IF(V89&gt;=2,8,IF(V89&gt;=1,5,0))+IF(W89="Y",4,0)+IF(X89="Y",3,0)</f>
        <v/>
      </c>
      <c r="AD89" s="3">
        <f>IF(A89="","",IF(OR(H89="Y",I89&lt;2),"",ROUND(Y89+Z89+AA89+AB89+AC89,0)))</f>
        <v/>
      </c>
      <c r="AE89" s="3">
        <f>IF(A89="","",IF(H89="Y","Not recommended: active recall",IF(I89&lt;2,"Not enough evidence yet","Scored")))</f>
        <v/>
      </c>
      <c r="AF89" s="3">
        <f>IF(AD89="","",IF(AD89&gt;=85,"Excellent",IF(AD89&gt;=70,"Good",IF(AD89&gt;=55,"Fair","Poor"))))</f>
        <v/>
      </c>
      <c r="AG89" s="3">
        <f>IF(AD89="","",IF(OR(G89="Y",I89&gt;=5),"High",IF(I89&gt;=3,"Medium","Low")))</f>
        <v/>
      </c>
    </row>
    <row r="90">
      <c r="Y90" s="3">
        <f>IF(I90&gt;=3,10,IF(I90=2,5,0))+IF(J90="Y",10,IF(J90="Partial",5,0))+IF(K90="Y",10,0)</f>
        <v/>
      </c>
      <c r="Z90" s="3">
        <f>IF(M90="Y",IF(L90="Y",8,0)+IF(N90="Y",8,0)+IF(O90="Y",4,0),ROUND((IF(L90="Y",8,0)+IF(O90="Y",4,0))*20/12,1))</f>
        <v/>
      </c>
      <c r="AA90" s="3">
        <f>IF(P90="Y",8,IF(P90="Partial",4,0))+IF(Q90="Y",6,IF(Q90="Partial",3,0))+IF(R90="Y",6,0)</f>
        <v/>
      </c>
      <c r="AB90" s="3">
        <f>IF(S90="Y",5,0)+IF(T90="Y",5,0)+IF(U90&gt;=3,5,IF(U90&gt;=1,2,0))</f>
        <v/>
      </c>
      <c r="AC90" s="3">
        <f>IF(V90&gt;=2,8,IF(V90&gt;=1,5,0))+IF(W90="Y",4,0)+IF(X90="Y",3,0)</f>
        <v/>
      </c>
      <c r="AD90" s="3">
        <f>IF(A90="","",IF(OR(H90="Y",I90&lt;2),"",ROUND(Y90+Z90+AA90+AB90+AC90,0)))</f>
        <v/>
      </c>
      <c r="AE90" s="3">
        <f>IF(A90="","",IF(H90="Y","Not recommended: active recall",IF(I90&lt;2,"Not enough evidence yet","Scored")))</f>
        <v/>
      </c>
      <c r="AF90" s="3">
        <f>IF(AD90="","",IF(AD90&gt;=85,"Excellent",IF(AD90&gt;=70,"Good",IF(AD90&gt;=55,"Fair","Poor"))))</f>
        <v/>
      </c>
      <c r="AG90" s="3">
        <f>IF(AD90="","",IF(OR(G90="Y",I90&gt;=5),"High",IF(I90&gt;=3,"Medium","Low")))</f>
        <v/>
      </c>
    </row>
    <row r="91">
      <c r="Y91" s="3">
        <f>IF(I91&gt;=3,10,IF(I91=2,5,0))+IF(J91="Y",10,IF(J91="Partial",5,0))+IF(K91="Y",10,0)</f>
        <v/>
      </c>
      <c r="Z91" s="3">
        <f>IF(M91="Y",IF(L91="Y",8,0)+IF(N91="Y",8,0)+IF(O91="Y",4,0),ROUND((IF(L91="Y",8,0)+IF(O91="Y",4,0))*20/12,1))</f>
        <v/>
      </c>
      <c r="AA91" s="3">
        <f>IF(P91="Y",8,IF(P91="Partial",4,0))+IF(Q91="Y",6,IF(Q91="Partial",3,0))+IF(R91="Y",6,0)</f>
        <v/>
      </c>
      <c r="AB91" s="3">
        <f>IF(S91="Y",5,0)+IF(T91="Y",5,0)+IF(U91&gt;=3,5,IF(U91&gt;=1,2,0))</f>
        <v/>
      </c>
      <c r="AC91" s="3">
        <f>IF(V91&gt;=2,8,IF(V91&gt;=1,5,0))+IF(W91="Y",4,0)+IF(X91="Y",3,0)</f>
        <v/>
      </c>
      <c r="AD91" s="3">
        <f>IF(A91="","",IF(OR(H91="Y",I91&lt;2),"",ROUND(Y91+Z91+AA91+AB91+AC91,0)))</f>
        <v/>
      </c>
      <c r="AE91" s="3">
        <f>IF(A91="","",IF(H91="Y","Not recommended: active recall",IF(I91&lt;2,"Not enough evidence yet","Scored")))</f>
        <v/>
      </c>
      <c r="AF91" s="3">
        <f>IF(AD91="","",IF(AD91&gt;=85,"Excellent",IF(AD91&gt;=70,"Good",IF(AD91&gt;=55,"Fair","Poor"))))</f>
        <v/>
      </c>
      <c r="AG91" s="3">
        <f>IF(AD91="","",IF(OR(G91="Y",I91&gt;=5),"High",IF(I91&gt;=3,"Medium","Low")))</f>
        <v/>
      </c>
    </row>
    <row r="92">
      <c r="Y92" s="3">
        <f>IF(I92&gt;=3,10,IF(I92=2,5,0))+IF(J92="Y",10,IF(J92="Partial",5,0))+IF(K92="Y",10,0)</f>
        <v/>
      </c>
      <c r="Z92" s="3">
        <f>IF(M92="Y",IF(L92="Y",8,0)+IF(N92="Y",8,0)+IF(O92="Y",4,0),ROUND((IF(L92="Y",8,0)+IF(O92="Y",4,0))*20/12,1))</f>
        <v/>
      </c>
      <c r="AA92" s="3">
        <f>IF(P92="Y",8,IF(P92="Partial",4,0))+IF(Q92="Y",6,IF(Q92="Partial",3,0))+IF(R92="Y",6,0)</f>
        <v/>
      </c>
      <c r="AB92" s="3">
        <f>IF(S92="Y",5,0)+IF(T92="Y",5,0)+IF(U92&gt;=3,5,IF(U92&gt;=1,2,0))</f>
        <v/>
      </c>
      <c r="AC92" s="3">
        <f>IF(V92&gt;=2,8,IF(V92&gt;=1,5,0))+IF(W92="Y",4,0)+IF(X92="Y",3,0)</f>
        <v/>
      </c>
      <c r="AD92" s="3">
        <f>IF(A92="","",IF(OR(H92="Y",I92&lt;2),"",ROUND(Y92+Z92+AA92+AB92+AC92,0)))</f>
        <v/>
      </c>
      <c r="AE92" s="3">
        <f>IF(A92="","",IF(H92="Y","Not recommended: active recall",IF(I92&lt;2,"Not enough evidence yet","Scored")))</f>
        <v/>
      </c>
      <c r="AF92" s="3">
        <f>IF(AD92="","",IF(AD92&gt;=85,"Excellent",IF(AD92&gt;=70,"Good",IF(AD92&gt;=55,"Fair","Poor"))))</f>
        <v/>
      </c>
      <c r="AG92" s="3">
        <f>IF(AD92="","",IF(OR(G92="Y",I92&gt;=5),"High",IF(I92&gt;=3,"Medium","Low")))</f>
        <v/>
      </c>
    </row>
    <row r="93">
      <c r="Y93" s="3">
        <f>IF(I93&gt;=3,10,IF(I93=2,5,0))+IF(J93="Y",10,IF(J93="Partial",5,0))+IF(K93="Y",10,0)</f>
        <v/>
      </c>
      <c r="Z93" s="3">
        <f>IF(M93="Y",IF(L93="Y",8,0)+IF(N93="Y",8,0)+IF(O93="Y",4,0),ROUND((IF(L93="Y",8,0)+IF(O93="Y",4,0))*20/12,1))</f>
        <v/>
      </c>
      <c r="AA93" s="3">
        <f>IF(P93="Y",8,IF(P93="Partial",4,0))+IF(Q93="Y",6,IF(Q93="Partial",3,0))+IF(R93="Y",6,0)</f>
        <v/>
      </c>
      <c r="AB93" s="3">
        <f>IF(S93="Y",5,0)+IF(T93="Y",5,0)+IF(U93&gt;=3,5,IF(U93&gt;=1,2,0))</f>
        <v/>
      </c>
      <c r="AC93" s="3">
        <f>IF(V93&gt;=2,8,IF(V93&gt;=1,5,0))+IF(W93="Y",4,0)+IF(X93="Y",3,0)</f>
        <v/>
      </c>
      <c r="AD93" s="3">
        <f>IF(A93="","",IF(OR(H93="Y",I93&lt;2),"",ROUND(Y93+Z93+AA93+AB93+AC93,0)))</f>
        <v/>
      </c>
      <c r="AE93" s="3">
        <f>IF(A93="","",IF(H93="Y","Not recommended: active recall",IF(I93&lt;2,"Not enough evidence yet","Scored")))</f>
        <v/>
      </c>
      <c r="AF93" s="3">
        <f>IF(AD93="","",IF(AD93&gt;=85,"Excellent",IF(AD93&gt;=70,"Good",IF(AD93&gt;=55,"Fair","Poor"))))</f>
        <v/>
      </c>
      <c r="AG93" s="3">
        <f>IF(AD93="","",IF(OR(G93="Y",I93&gt;=5),"High",IF(I93&gt;=3,"Medium","Low")))</f>
        <v/>
      </c>
    </row>
    <row r="94">
      <c r="Y94" s="3">
        <f>IF(I94&gt;=3,10,IF(I94=2,5,0))+IF(J94="Y",10,IF(J94="Partial",5,0))+IF(K94="Y",10,0)</f>
        <v/>
      </c>
      <c r="Z94" s="3">
        <f>IF(M94="Y",IF(L94="Y",8,0)+IF(N94="Y",8,0)+IF(O94="Y",4,0),ROUND((IF(L94="Y",8,0)+IF(O94="Y",4,0))*20/12,1))</f>
        <v/>
      </c>
      <c r="AA94" s="3">
        <f>IF(P94="Y",8,IF(P94="Partial",4,0))+IF(Q94="Y",6,IF(Q94="Partial",3,0))+IF(R94="Y",6,0)</f>
        <v/>
      </c>
      <c r="AB94" s="3">
        <f>IF(S94="Y",5,0)+IF(T94="Y",5,0)+IF(U94&gt;=3,5,IF(U94&gt;=1,2,0))</f>
        <v/>
      </c>
      <c r="AC94" s="3">
        <f>IF(V94&gt;=2,8,IF(V94&gt;=1,5,0))+IF(W94="Y",4,0)+IF(X94="Y",3,0)</f>
        <v/>
      </c>
      <c r="AD94" s="3">
        <f>IF(A94="","",IF(OR(H94="Y",I94&lt;2),"",ROUND(Y94+Z94+AA94+AB94+AC94,0)))</f>
        <v/>
      </c>
      <c r="AE94" s="3">
        <f>IF(A94="","",IF(H94="Y","Not recommended: active recall",IF(I94&lt;2,"Not enough evidence yet","Scored")))</f>
        <v/>
      </c>
      <c r="AF94" s="3">
        <f>IF(AD94="","",IF(AD94&gt;=85,"Excellent",IF(AD94&gt;=70,"Good",IF(AD94&gt;=55,"Fair","Poor"))))</f>
        <v/>
      </c>
      <c r="AG94" s="3">
        <f>IF(AD94="","",IF(OR(G94="Y",I94&gt;=5),"High",IF(I94&gt;=3,"Medium","Low")))</f>
        <v/>
      </c>
    </row>
    <row r="95">
      <c r="Y95" s="3">
        <f>IF(I95&gt;=3,10,IF(I95=2,5,0))+IF(J95="Y",10,IF(J95="Partial",5,0))+IF(K95="Y",10,0)</f>
        <v/>
      </c>
      <c r="Z95" s="3">
        <f>IF(M95="Y",IF(L95="Y",8,0)+IF(N95="Y",8,0)+IF(O95="Y",4,0),ROUND((IF(L95="Y",8,0)+IF(O95="Y",4,0))*20/12,1))</f>
        <v/>
      </c>
      <c r="AA95" s="3">
        <f>IF(P95="Y",8,IF(P95="Partial",4,0))+IF(Q95="Y",6,IF(Q95="Partial",3,0))+IF(R95="Y",6,0)</f>
        <v/>
      </c>
      <c r="AB95" s="3">
        <f>IF(S95="Y",5,0)+IF(T95="Y",5,0)+IF(U95&gt;=3,5,IF(U95&gt;=1,2,0))</f>
        <v/>
      </c>
      <c r="AC95" s="3">
        <f>IF(V95&gt;=2,8,IF(V95&gt;=1,5,0))+IF(W95="Y",4,0)+IF(X95="Y",3,0)</f>
        <v/>
      </c>
      <c r="AD95" s="3">
        <f>IF(A95="","",IF(OR(H95="Y",I95&lt;2),"",ROUND(Y95+Z95+AA95+AB95+AC95,0)))</f>
        <v/>
      </c>
      <c r="AE95" s="3">
        <f>IF(A95="","",IF(H95="Y","Not recommended: active recall",IF(I95&lt;2,"Not enough evidence yet","Scored")))</f>
        <v/>
      </c>
      <c r="AF95" s="3">
        <f>IF(AD95="","",IF(AD95&gt;=85,"Excellent",IF(AD95&gt;=70,"Good",IF(AD95&gt;=55,"Fair","Poor"))))</f>
        <v/>
      </c>
      <c r="AG95" s="3">
        <f>IF(AD95="","",IF(OR(G95="Y",I95&gt;=5),"High",IF(I95&gt;=3,"Medium","Low")))</f>
        <v/>
      </c>
    </row>
    <row r="96">
      <c r="Y96" s="3">
        <f>IF(I96&gt;=3,10,IF(I96=2,5,0))+IF(J96="Y",10,IF(J96="Partial",5,0))+IF(K96="Y",10,0)</f>
        <v/>
      </c>
      <c r="Z96" s="3">
        <f>IF(M96="Y",IF(L96="Y",8,0)+IF(N96="Y",8,0)+IF(O96="Y",4,0),ROUND((IF(L96="Y",8,0)+IF(O96="Y",4,0))*20/12,1))</f>
        <v/>
      </c>
      <c r="AA96" s="3">
        <f>IF(P96="Y",8,IF(P96="Partial",4,0))+IF(Q96="Y",6,IF(Q96="Partial",3,0))+IF(R96="Y",6,0)</f>
        <v/>
      </c>
      <c r="AB96" s="3">
        <f>IF(S96="Y",5,0)+IF(T96="Y",5,0)+IF(U96&gt;=3,5,IF(U96&gt;=1,2,0))</f>
        <v/>
      </c>
      <c r="AC96" s="3">
        <f>IF(V96&gt;=2,8,IF(V96&gt;=1,5,0))+IF(W96="Y",4,0)+IF(X96="Y",3,0)</f>
        <v/>
      </c>
      <c r="AD96" s="3">
        <f>IF(A96="","",IF(OR(H96="Y",I96&lt;2),"",ROUND(Y96+Z96+AA96+AB96+AC96,0)))</f>
        <v/>
      </c>
      <c r="AE96" s="3">
        <f>IF(A96="","",IF(H96="Y","Not recommended: active recall",IF(I96&lt;2,"Not enough evidence yet","Scored")))</f>
        <v/>
      </c>
      <c r="AF96" s="3">
        <f>IF(AD96="","",IF(AD96&gt;=85,"Excellent",IF(AD96&gt;=70,"Good",IF(AD96&gt;=55,"Fair","Poor"))))</f>
        <v/>
      </c>
      <c r="AG96" s="3">
        <f>IF(AD96="","",IF(OR(G96="Y",I96&gt;=5),"High",IF(I96&gt;=3,"Medium","Low")))</f>
        <v/>
      </c>
    </row>
    <row r="97">
      <c r="Y97" s="3">
        <f>IF(I97&gt;=3,10,IF(I97=2,5,0))+IF(J97="Y",10,IF(J97="Partial",5,0))+IF(K97="Y",10,0)</f>
        <v/>
      </c>
      <c r="Z97" s="3">
        <f>IF(M97="Y",IF(L97="Y",8,0)+IF(N97="Y",8,0)+IF(O97="Y",4,0),ROUND((IF(L97="Y",8,0)+IF(O97="Y",4,0))*20/12,1))</f>
        <v/>
      </c>
      <c r="AA97" s="3">
        <f>IF(P97="Y",8,IF(P97="Partial",4,0))+IF(Q97="Y",6,IF(Q97="Partial",3,0))+IF(R97="Y",6,0)</f>
        <v/>
      </c>
      <c r="AB97" s="3">
        <f>IF(S97="Y",5,0)+IF(T97="Y",5,0)+IF(U97&gt;=3,5,IF(U97&gt;=1,2,0))</f>
        <v/>
      </c>
      <c r="AC97" s="3">
        <f>IF(V97&gt;=2,8,IF(V97&gt;=1,5,0))+IF(W97="Y",4,0)+IF(X97="Y",3,0)</f>
        <v/>
      </c>
      <c r="AD97" s="3">
        <f>IF(A97="","",IF(OR(H97="Y",I97&lt;2),"",ROUND(Y97+Z97+AA97+AB97+AC97,0)))</f>
        <v/>
      </c>
      <c r="AE97" s="3">
        <f>IF(A97="","",IF(H97="Y","Not recommended: active recall",IF(I97&lt;2,"Not enough evidence yet","Scored")))</f>
        <v/>
      </c>
      <c r="AF97" s="3">
        <f>IF(AD97="","",IF(AD97&gt;=85,"Excellent",IF(AD97&gt;=70,"Good",IF(AD97&gt;=55,"Fair","Poor"))))</f>
        <v/>
      </c>
      <c r="AG97" s="3">
        <f>IF(AD97="","",IF(OR(G97="Y",I97&gt;=5),"High",IF(I97&gt;=3,"Medium","Low")))</f>
        <v/>
      </c>
    </row>
    <row r="98">
      <c r="Y98" s="3">
        <f>IF(I98&gt;=3,10,IF(I98=2,5,0))+IF(J98="Y",10,IF(J98="Partial",5,0))+IF(K98="Y",10,0)</f>
        <v/>
      </c>
      <c r="Z98" s="3">
        <f>IF(M98="Y",IF(L98="Y",8,0)+IF(N98="Y",8,0)+IF(O98="Y",4,0),ROUND((IF(L98="Y",8,0)+IF(O98="Y",4,0))*20/12,1))</f>
        <v/>
      </c>
      <c r="AA98" s="3">
        <f>IF(P98="Y",8,IF(P98="Partial",4,0))+IF(Q98="Y",6,IF(Q98="Partial",3,0))+IF(R98="Y",6,0)</f>
        <v/>
      </c>
      <c r="AB98" s="3">
        <f>IF(S98="Y",5,0)+IF(T98="Y",5,0)+IF(U98&gt;=3,5,IF(U98&gt;=1,2,0))</f>
        <v/>
      </c>
      <c r="AC98" s="3">
        <f>IF(V98&gt;=2,8,IF(V98&gt;=1,5,0))+IF(W98="Y",4,0)+IF(X98="Y",3,0)</f>
        <v/>
      </c>
      <c r="AD98" s="3">
        <f>IF(A98="","",IF(OR(H98="Y",I98&lt;2),"",ROUND(Y98+Z98+AA98+AB98+AC98,0)))</f>
        <v/>
      </c>
      <c r="AE98" s="3">
        <f>IF(A98="","",IF(H98="Y","Not recommended: active recall",IF(I98&lt;2,"Not enough evidence yet","Scored")))</f>
        <v/>
      </c>
      <c r="AF98" s="3">
        <f>IF(AD98="","",IF(AD98&gt;=85,"Excellent",IF(AD98&gt;=70,"Good",IF(AD98&gt;=55,"Fair","Poor"))))</f>
        <v/>
      </c>
      <c r="AG98" s="3">
        <f>IF(AD98="","",IF(OR(G98="Y",I98&gt;=5),"High",IF(I98&gt;=3,"Medium","Low")))</f>
        <v/>
      </c>
    </row>
    <row r="99">
      <c r="Y99" s="3">
        <f>IF(I99&gt;=3,10,IF(I99=2,5,0))+IF(J99="Y",10,IF(J99="Partial",5,0))+IF(K99="Y",10,0)</f>
        <v/>
      </c>
      <c r="Z99" s="3">
        <f>IF(M99="Y",IF(L99="Y",8,0)+IF(N99="Y",8,0)+IF(O99="Y",4,0),ROUND((IF(L99="Y",8,0)+IF(O99="Y",4,0))*20/12,1))</f>
        <v/>
      </c>
      <c r="AA99" s="3">
        <f>IF(P99="Y",8,IF(P99="Partial",4,0))+IF(Q99="Y",6,IF(Q99="Partial",3,0))+IF(R99="Y",6,0)</f>
        <v/>
      </c>
      <c r="AB99" s="3">
        <f>IF(S99="Y",5,0)+IF(T99="Y",5,0)+IF(U99&gt;=3,5,IF(U99&gt;=1,2,0))</f>
        <v/>
      </c>
      <c r="AC99" s="3">
        <f>IF(V99&gt;=2,8,IF(V99&gt;=1,5,0))+IF(W99="Y",4,0)+IF(X99="Y",3,0)</f>
        <v/>
      </c>
      <c r="AD99" s="3">
        <f>IF(A99="","",IF(OR(H99="Y",I99&lt;2),"",ROUND(Y99+Z99+AA99+AB99+AC99,0)))</f>
        <v/>
      </c>
      <c r="AE99" s="3">
        <f>IF(A99="","",IF(H99="Y","Not recommended: active recall",IF(I99&lt;2,"Not enough evidence yet","Scored")))</f>
        <v/>
      </c>
      <c r="AF99" s="3">
        <f>IF(AD99="","",IF(AD99&gt;=85,"Excellent",IF(AD99&gt;=70,"Good",IF(AD99&gt;=55,"Fair","Poor"))))</f>
        <v/>
      </c>
      <c r="AG99" s="3">
        <f>IF(AD99="","",IF(OR(G99="Y",I99&gt;=5),"High",IF(I99&gt;=3,"Medium","Low")))</f>
        <v/>
      </c>
    </row>
    <row r="100">
      <c r="Y100" s="3">
        <f>IF(I100&gt;=3,10,IF(I100=2,5,0))+IF(J100="Y",10,IF(J100="Partial",5,0))+IF(K100="Y",10,0)</f>
        <v/>
      </c>
      <c r="Z100" s="3">
        <f>IF(M100="Y",IF(L100="Y",8,0)+IF(N100="Y",8,0)+IF(O100="Y",4,0),ROUND((IF(L100="Y",8,0)+IF(O100="Y",4,0))*20/12,1))</f>
        <v/>
      </c>
      <c r="AA100" s="3">
        <f>IF(P100="Y",8,IF(P100="Partial",4,0))+IF(Q100="Y",6,IF(Q100="Partial",3,0))+IF(R100="Y",6,0)</f>
        <v/>
      </c>
      <c r="AB100" s="3">
        <f>IF(S100="Y",5,0)+IF(T100="Y",5,0)+IF(U100&gt;=3,5,IF(U100&gt;=1,2,0))</f>
        <v/>
      </c>
      <c r="AC100" s="3">
        <f>IF(V100&gt;=2,8,IF(V100&gt;=1,5,0))+IF(W100="Y",4,0)+IF(X100="Y",3,0)</f>
        <v/>
      </c>
      <c r="AD100" s="3">
        <f>IF(A100="","",IF(OR(H100="Y",I100&lt;2),"",ROUND(Y100+Z100+AA100+AB100+AC100,0)))</f>
        <v/>
      </c>
      <c r="AE100" s="3">
        <f>IF(A100="","",IF(H100="Y","Not recommended: active recall",IF(I100&lt;2,"Not enough evidence yet","Scored")))</f>
        <v/>
      </c>
      <c r="AF100" s="3">
        <f>IF(AD100="","",IF(AD100&gt;=85,"Excellent",IF(AD100&gt;=70,"Good",IF(AD100&gt;=55,"Fair","Poor"))))</f>
        <v/>
      </c>
      <c r="AG100" s="3">
        <f>IF(AD100="","",IF(OR(G100="Y",I100&gt;=5),"High",IF(I100&gt;=3,"Medium","Low")))</f>
        <v/>
      </c>
    </row>
    <row r="101">
      <c r="Y101" s="3">
        <f>IF(I101&gt;=3,10,IF(I101=2,5,0))+IF(J101="Y",10,IF(J101="Partial",5,0))+IF(K101="Y",10,0)</f>
        <v/>
      </c>
      <c r="Z101" s="3">
        <f>IF(M101="Y",IF(L101="Y",8,0)+IF(N101="Y",8,0)+IF(O101="Y",4,0),ROUND((IF(L101="Y",8,0)+IF(O101="Y",4,0))*20/12,1))</f>
        <v/>
      </c>
      <c r="AA101" s="3">
        <f>IF(P101="Y",8,IF(P101="Partial",4,0))+IF(Q101="Y",6,IF(Q101="Partial",3,0))+IF(R101="Y",6,0)</f>
        <v/>
      </c>
      <c r="AB101" s="3">
        <f>IF(S101="Y",5,0)+IF(T101="Y",5,0)+IF(U101&gt;=3,5,IF(U101&gt;=1,2,0))</f>
        <v/>
      </c>
      <c r="AC101" s="3">
        <f>IF(V101&gt;=2,8,IF(V101&gt;=1,5,0))+IF(W101="Y",4,0)+IF(X101="Y",3,0)</f>
        <v/>
      </c>
      <c r="AD101" s="3">
        <f>IF(A101="","",IF(OR(H101="Y",I101&lt;2),"",ROUND(Y101+Z101+AA101+AB101+AC101,0)))</f>
        <v/>
      </c>
      <c r="AE101" s="3">
        <f>IF(A101="","",IF(H101="Y","Not recommended: active recall",IF(I101&lt;2,"Not enough evidence yet","Scored")))</f>
        <v/>
      </c>
      <c r="AF101" s="3">
        <f>IF(AD101="","",IF(AD101&gt;=85,"Excellent",IF(AD101&gt;=70,"Good",IF(AD101&gt;=55,"Fair","Poor"))))</f>
        <v/>
      </c>
      <c r="AG101" s="3">
        <f>IF(AD101="","",IF(OR(G101="Y",I101&gt;=5),"High",IF(I101&gt;=3,"Medium","Low")))</f>
        <v/>
      </c>
    </row>
    <row r="102">
      <c r="Y102" s="3">
        <f>IF(I102&gt;=3,10,IF(I102=2,5,0))+IF(J102="Y",10,IF(J102="Partial",5,0))+IF(K102="Y",10,0)</f>
        <v/>
      </c>
      <c r="Z102" s="3">
        <f>IF(M102="Y",IF(L102="Y",8,0)+IF(N102="Y",8,0)+IF(O102="Y",4,0),ROUND((IF(L102="Y",8,0)+IF(O102="Y",4,0))*20/12,1))</f>
        <v/>
      </c>
      <c r="AA102" s="3">
        <f>IF(P102="Y",8,IF(P102="Partial",4,0))+IF(Q102="Y",6,IF(Q102="Partial",3,0))+IF(R102="Y",6,0)</f>
        <v/>
      </c>
      <c r="AB102" s="3">
        <f>IF(S102="Y",5,0)+IF(T102="Y",5,0)+IF(U102&gt;=3,5,IF(U102&gt;=1,2,0))</f>
        <v/>
      </c>
      <c r="AC102" s="3">
        <f>IF(V102&gt;=2,8,IF(V102&gt;=1,5,0))+IF(W102="Y",4,0)+IF(X102="Y",3,0)</f>
        <v/>
      </c>
      <c r="AD102" s="3">
        <f>IF(A102="","",IF(OR(H102="Y",I102&lt;2),"",ROUND(Y102+Z102+AA102+AB102+AC102,0)))</f>
        <v/>
      </c>
      <c r="AE102" s="3">
        <f>IF(A102="","",IF(H102="Y","Not recommended: active recall",IF(I102&lt;2,"Not enough evidence yet","Scored")))</f>
        <v/>
      </c>
      <c r="AF102" s="3">
        <f>IF(AD102="","",IF(AD102&gt;=85,"Excellent",IF(AD102&gt;=70,"Good",IF(AD102&gt;=55,"Fair","Poor"))))</f>
        <v/>
      </c>
      <c r="AG102" s="3">
        <f>IF(AD102="","",IF(OR(G102="Y",I102&gt;=5),"High",IF(I102&gt;=3,"Medium","Low")))</f>
        <v/>
      </c>
    </row>
    <row r="103">
      <c r="Y103" s="3">
        <f>IF(I103&gt;=3,10,IF(I103=2,5,0))+IF(J103="Y",10,IF(J103="Partial",5,0))+IF(K103="Y",10,0)</f>
        <v/>
      </c>
      <c r="Z103" s="3">
        <f>IF(M103="Y",IF(L103="Y",8,0)+IF(N103="Y",8,0)+IF(O103="Y",4,0),ROUND((IF(L103="Y",8,0)+IF(O103="Y",4,0))*20/12,1))</f>
        <v/>
      </c>
      <c r="AA103" s="3">
        <f>IF(P103="Y",8,IF(P103="Partial",4,0))+IF(Q103="Y",6,IF(Q103="Partial",3,0))+IF(R103="Y",6,0)</f>
        <v/>
      </c>
      <c r="AB103" s="3">
        <f>IF(S103="Y",5,0)+IF(T103="Y",5,0)+IF(U103&gt;=3,5,IF(U103&gt;=1,2,0))</f>
        <v/>
      </c>
      <c r="AC103" s="3">
        <f>IF(V103&gt;=2,8,IF(V103&gt;=1,5,0))+IF(W103="Y",4,0)+IF(X103="Y",3,0)</f>
        <v/>
      </c>
      <c r="AD103" s="3">
        <f>IF(A103="","",IF(OR(H103="Y",I103&lt;2),"",ROUND(Y103+Z103+AA103+AB103+AC103,0)))</f>
        <v/>
      </c>
      <c r="AE103" s="3">
        <f>IF(A103="","",IF(H103="Y","Not recommended: active recall",IF(I103&lt;2,"Not enough evidence yet","Scored")))</f>
        <v/>
      </c>
      <c r="AF103" s="3">
        <f>IF(AD103="","",IF(AD103&gt;=85,"Excellent",IF(AD103&gt;=70,"Good",IF(AD103&gt;=55,"Fair","Poor"))))</f>
        <v/>
      </c>
      <c r="AG103" s="3">
        <f>IF(AD103="","",IF(OR(G103="Y",I103&gt;=5),"High",IF(I103&gt;=3,"Medium","Low")))</f>
        <v/>
      </c>
    </row>
    <row r="104">
      <c r="Y104" s="3">
        <f>IF(I104&gt;=3,10,IF(I104=2,5,0))+IF(J104="Y",10,IF(J104="Partial",5,0))+IF(K104="Y",10,0)</f>
        <v/>
      </c>
      <c r="Z104" s="3">
        <f>IF(M104="Y",IF(L104="Y",8,0)+IF(N104="Y",8,0)+IF(O104="Y",4,0),ROUND((IF(L104="Y",8,0)+IF(O104="Y",4,0))*20/12,1))</f>
        <v/>
      </c>
      <c r="AA104" s="3">
        <f>IF(P104="Y",8,IF(P104="Partial",4,0))+IF(Q104="Y",6,IF(Q104="Partial",3,0))+IF(R104="Y",6,0)</f>
        <v/>
      </c>
      <c r="AB104" s="3">
        <f>IF(S104="Y",5,0)+IF(T104="Y",5,0)+IF(U104&gt;=3,5,IF(U104&gt;=1,2,0))</f>
        <v/>
      </c>
      <c r="AC104" s="3">
        <f>IF(V104&gt;=2,8,IF(V104&gt;=1,5,0))+IF(W104="Y",4,0)+IF(X104="Y",3,0)</f>
        <v/>
      </c>
      <c r="AD104" s="3">
        <f>IF(A104="","",IF(OR(H104="Y",I104&lt;2),"",ROUND(Y104+Z104+AA104+AB104+AC104,0)))</f>
        <v/>
      </c>
      <c r="AE104" s="3">
        <f>IF(A104="","",IF(H104="Y","Not recommended: active recall",IF(I104&lt;2,"Not enough evidence yet","Scored")))</f>
        <v/>
      </c>
      <c r="AF104" s="3">
        <f>IF(AD104="","",IF(AD104&gt;=85,"Excellent",IF(AD104&gt;=70,"Good",IF(AD104&gt;=55,"Fair","Poor"))))</f>
        <v/>
      </c>
      <c r="AG104" s="3">
        <f>IF(AD104="","",IF(OR(G104="Y",I104&gt;=5),"High",IF(I104&gt;=3,"Medium","Low")))</f>
        <v/>
      </c>
    </row>
    <row r="105">
      <c r="Y105" s="3">
        <f>IF(I105&gt;=3,10,IF(I105=2,5,0))+IF(J105="Y",10,IF(J105="Partial",5,0))+IF(K105="Y",10,0)</f>
        <v/>
      </c>
      <c r="Z105" s="3">
        <f>IF(M105="Y",IF(L105="Y",8,0)+IF(N105="Y",8,0)+IF(O105="Y",4,0),ROUND((IF(L105="Y",8,0)+IF(O105="Y",4,0))*20/12,1))</f>
        <v/>
      </c>
      <c r="AA105" s="3">
        <f>IF(P105="Y",8,IF(P105="Partial",4,0))+IF(Q105="Y",6,IF(Q105="Partial",3,0))+IF(R105="Y",6,0)</f>
        <v/>
      </c>
      <c r="AB105" s="3">
        <f>IF(S105="Y",5,0)+IF(T105="Y",5,0)+IF(U105&gt;=3,5,IF(U105&gt;=1,2,0))</f>
        <v/>
      </c>
      <c r="AC105" s="3">
        <f>IF(V105&gt;=2,8,IF(V105&gt;=1,5,0))+IF(W105="Y",4,0)+IF(X105="Y",3,0)</f>
        <v/>
      </c>
      <c r="AD105" s="3">
        <f>IF(A105="","",IF(OR(H105="Y",I105&lt;2),"",ROUND(Y105+Z105+AA105+AB105+AC105,0)))</f>
        <v/>
      </c>
      <c r="AE105" s="3">
        <f>IF(A105="","",IF(H105="Y","Not recommended: active recall",IF(I105&lt;2,"Not enough evidence yet","Scored")))</f>
        <v/>
      </c>
      <c r="AF105" s="3">
        <f>IF(AD105="","",IF(AD105&gt;=85,"Excellent",IF(AD105&gt;=70,"Good",IF(AD105&gt;=55,"Fair","Poor"))))</f>
        <v/>
      </c>
      <c r="AG105" s="3">
        <f>IF(AD105="","",IF(OR(G105="Y",I105&gt;=5),"High",IF(I105&gt;=3,"Medium","Low")))</f>
        <v/>
      </c>
    </row>
    <row r="106">
      <c r="Y106" s="3">
        <f>IF(I106&gt;=3,10,IF(I106=2,5,0))+IF(J106="Y",10,IF(J106="Partial",5,0))+IF(K106="Y",10,0)</f>
        <v/>
      </c>
      <c r="Z106" s="3">
        <f>IF(M106="Y",IF(L106="Y",8,0)+IF(N106="Y",8,0)+IF(O106="Y",4,0),ROUND((IF(L106="Y",8,0)+IF(O106="Y",4,0))*20/12,1))</f>
        <v/>
      </c>
      <c r="AA106" s="3">
        <f>IF(P106="Y",8,IF(P106="Partial",4,0))+IF(Q106="Y",6,IF(Q106="Partial",3,0))+IF(R106="Y",6,0)</f>
        <v/>
      </c>
      <c r="AB106" s="3">
        <f>IF(S106="Y",5,0)+IF(T106="Y",5,0)+IF(U106&gt;=3,5,IF(U106&gt;=1,2,0))</f>
        <v/>
      </c>
      <c r="AC106" s="3">
        <f>IF(V106&gt;=2,8,IF(V106&gt;=1,5,0))+IF(W106="Y",4,0)+IF(X106="Y",3,0)</f>
        <v/>
      </c>
      <c r="AD106" s="3">
        <f>IF(A106="","",IF(OR(H106="Y",I106&lt;2),"",ROUND(Y106+Z106+AA106+AB106+AC106,0)))</f>
        <v/>
      </c>
      <c r="AE106" s="3">
        <f>IF(A106="","",IF(H106="Y","Not recommended: active recall",IF(I106&lt;2,"Not enough evidence yet","Scored")))</f>
        <v/>
      </c>
      <c r="AF106" s="3">
        <f>IF(AD106="","",IF(AD106&gt;=85,"Excellent",IF(AD106&gt;=70,"Good",IF(AD106&gt;=55,"Fair","Poor"))))</f>
        <v/>
      </c>
      <c r="AG106" s="3">
        <f>IF(AD106="","",IF(OR(G106="Y",I106&gt;=5),"High",IF(I106&gt;=3,"Medium","Low")))</f>
        <v/>
      </c>
    </row>
    <row r="107">
      <c r="Y107" s="3">
        <f>IF(I107&gt;=3,10,IF(I107=2,5,0))+IF(J107="Y",10,IF(J107="Partial",5,0))+IF(K107="Y",10,0)</f>
        <v/>
      </c>
      <c r="Z107" s="3">
        <f>IF(M107="Y",IF(L107="Y",8,0)+IF(N107="Y",8,0)+IF(O107="Y",4,0),ROUND((IF(L107="Y",8,0)+IF(O107="Y",4,0))*20/12,1))</f>
        <v/>
      </c>
      <c r="AA107" s="3">
        <f>IF(P107="Y",8,IF(P107="Partial",4,0))+IF(Q107="Y",6,IF(Q107="Partial",3,0))+IF(R107="Y",6,0)</f>
        <v/>
      </c>
      <c r="AB107" s="3">
        <f>IF(S107="Y",5,0)+IF(T107="Y",5,0)+IF(U107&gt;=3,5,IF(U107&gt;=1,2,0))</f>
        <v/>
      </c>
      <c r="AC107" s="3">
        <f>IF(V107&gt;=2,8,IF(V107&gt;=1,5,0))+IF(W107="Y",4,0)+IF(X107="Y",3,0)</f>
        <v/>
      </c>
      <c r="AD107" s="3">
        <f>IF(A107="","",IF(OR(H107="Y",I107&lt;2),"",ROUND(Y107+Z107+AA107+AB107+AC107,0)))</f>
        <v/>
      </c>
      <c r="AE107" s="3">
        <f>IF(A107="","",IF(H107="Y","Not recommended: active recall",IF(I107&lt;2,"Not enough evidence yet","Scored")))</f>
        <v/>
      </c>
      <c r="AF107" s="3">
        <f>IF(AD107="","",IF(AD107&gt;=85,"Excellent",IF(AD107&gt;=70,"Good",IF(AD107&gt;=55,"Fair","Poor"))))</f>
        <v/>
      </c>
      <c r="AG107" s="3">
        <f>IF(AD107="","",IF(OR(G107="Y",I107&gt;=5),"High",IF(I107&gt;=3,"Medium","Low")))</f>
        <v/>
      </c>
    </row>
    <row r="108">
      <c r="Y108" s="3">
        <f>IF(I108&gt;=3,10,IF(I108=2,5,0))+IF(J108="Y",10,IF(J108="Partial",5,0))+IF(K108="Y",10,0)</f>
        <v/>
      </c>
      <c r="Z108" s="3">
        <f>IF(M108="Y",IF(L108="Y",8,0)+IF(N108="Y",8,0)+IF(O108="Y",4,0),ROUND((IF(L108="Y",8,0)+IF(O108="Y",4,0))*20/12,1))</f>
        <v/>
      </c>
      <c r="AA108" s="3">
        <f>IF(P108="Y",8,IF(P108="Partial",4,0))+IF(Q108="Y",6,IF(Q108="Partial",3,0))+IF(R108="Y",6,0)</f>
        <v/>
      </c>
      <c r="AB108" s="3">
        <f>IF(S108="Y",5,0)+IF(T108="Y",5,0)+IF(U108&gt;=3,5,IF(U108&gt;=1,2,0))</f>
        <v/>
      </c>
      <c r="AC108" s="3">
        <f>IF(V108&gt;=2,8,IF(V108&gt;=1,5,0))+IF(W108="Y",4,0)+IF(X108="Y",3,0)</f>
        <v/>
      </c>
      <c r="AD108" s="3">
        <f>IF(A108="","",IF(OR(H108="Y",I108&lt;2),"",ROUND(Y108+Z108+AA108+AB108+AC108,0)))</f>
        <v/>
      </c>
      <c r="AE108" s="3">
        <f>IF(A108="","",IF(H108="Y","Not recommended: active recall",IF(I108&lt;2,"Not enough evidence yet","Scored")))</f>
        <v/>
      </c>
      <c r="AF108" s="3">
        <f>IF(AD108="","",IF(AD108&gt;=85,"Excellent",IF(AD108&gt;=70,"Good",IF(AD108&gt;=55,"Fair","Poor"))))</f>
        <v/>
      </c>
      <c r="AG108" s="3">
        <f>IF(AD108="","",IF(OR(G108="Y",I108&gt;=5),"High",IF(I108&gt;=3,"Medium","Low")))</f>
        <v/>
      </c>
    </row>
    <row r="109">
      <c r="Y109" s="3">
        <f>IF(I109&gt;=3,10,IF(I109=2,5,0))+IF(J109="Y",10,IF(J109="Partial",5,0))+IF(K109="Y",10,0)</f>
        <v/>
      </c>
      <c r="Z109" s="3">
        <f>IF(M109="Y",IF(L109="Y",8,0)+IF(N109="Y",8,0)+IF(O109="Y",4,0),ROUND((IF(L109="Y",8,0)+IF(O109="Y",4,0))*20/12,1))</f>
        <v/>
      </c>
      <c r="AA109" s="3">
        <f>IF(P109="Y",8,IF(P109="Partial",4,0))+IF(Q109="Y",6,IF(Q109="Partial",3,0))+IF(R109="Y",6,0)</f>
        <v/>
      </c>
      <c r="AB109" s="3">
        <f>IF(S109="Y",5,0)+IF(T109="Y",5,0)+IF(U109&gt;=3,5,IF(U109&gt;=1,2,0))</f>
        <v/>
      </c>
      <c r="AC109" s="3">
        <f>IF(V109&gt;=2,8,IF(V109&gt;=1,5,0))+IF(W109="Y",4,0)+IF(X109="Y",3,0)</f>
        <v/>
      </c>
      <c r="AD109" s="3">
        <f>IF(A109="","",IF(OR(H109="Y",I109&lt;2),"",ROUND(Y109+Z109+AA109+AB109+AC109,0)))</f>
        <v/>
      </c>
      <c r="AE109" s="3">
        <f>IF(A109="","",IF(H109="Y","Not recommended: active recall",IF(I109&lt;2,"Not enough evidence yet","Scored")))</f>
        <v/>
      </c>
      <c r="AF109" s="3">
        <f>IF(AD109="","",IF(AD109&gt;=85,"Excellent",IF(AD109&gt;=70,"Good",IF(AD109&gt;=55,"Fair","Poor"))))</f>
        <v/>
      </c>
      <c r="AG109" s="3">
        <f>IF(AD109="","",IF(OR(G109="Y",I109&gt;=5),"High",IF(I109&gt;=3,"Medium","Low")))</f>
        <v/>
      </c>
    </row>
    <row r="110">
      <c r="Y110" s="3">
        <f>IF(I110&gt;=3,10,IF(I110=2,5,0))+IF(J110="Y",10,IF(J110="Partial",5,0))+IF(K110="Y",10,0)</f>
        <v/>
      </c>
      <c r="Z110" s="3">
        <f>IF(M110="Y",IF(L110="Y",8,0)+IF(N110="Y",8,0)+IF(O110="Y",4,0),ROUND((IF(L110="Y",8,0)+IF(O110="Y",4,0))*20/12,1))</f>
        <v/>
      </c>
      <c r="AA110" s="3">
        <f>IF(P110="Y",8,IF(P110="Partial",4,0))+IF(Q110="Y",6,IF(Q110="Partial",3,0))+IF(R110="Y",6,0)</f>
        <v/>
      </c>
      <c r="AB110" s="3">
        <f>IF(S110="Y",5,0)+IF(T110="Y",5,0)+IF(U110&gt;=3,5,IF(U110&gt;=1,2,0))</f>
        <v/>
      </c>
      <c r="AC110" s="3">
        <f>IF(V110&gt;=2,8,IF(V110&gt;=1,5,0))+IF(W110="Y",4,0)+IF(X110="Y",3,0)</f>
        <v/>
      </c>
      <c r="AD110" s="3">
        <f>IF(A110="","",IF(OR(H110="Y",I110&lt;2),"",ROUND(Y110+Z110+AA110+AB110+AC110,0)))</f>
        <v/>
      </c>
      <c r="AE110" s="3">
        <f>IF(A110="","",IF(H110="Y","Not recommended: active recall",IF(I110&lt;2,"Not enough evidence yet","Scored")))</f>
        <v/>
      </c>
      <c r="AF110" s="3">
        <f>IF(AD110="","",IF(AD110&gt;=85,"Excellent",IF(AD110&gt;=70,"Good",IF(AD110&gt;=55,"Fair","Poor"))))</f>
        <v/>
      </c>
      <c r="AG110" s="3">
        <f>IF(AD110="","",IF(OR(G110="Y",I110&gt;=5),"High",IF(I110&gt;=3,"Medium","Low")))</f>
        <v/>
      </c>
    </row>
    <row r="111">
      <c r="Y111" s="3">
        <f>IF(I111&gt;=3,10,IF(I111=2,5,0))+IF(J111="Y",10,IF(J111="Partial",5,0))+IF(K111="Y",10,0)</f>
        <v/>
      </c>
      <c r="Z111" s="3">
        <f>IF(M111="Y",IF(L111="Y",8,0)+IF(N111="Y",8,0)+IF(O111="Y",4,0),ROUND((IF(L111="Y",8,0)+IF(O111="Y",4,0))*20/12,1))</f>
        <v/>
      </c>
      <c r="AA111" s="3">
        <f>IF(P111="Y",8,IF(P111="Partial",4,0))+IF(Q111="Y",6,IF(Q111="Partial",3,0))+IF(R111="Y",6,0)</f>
        <v/>
      </c>
      <c r="AB111" s="3">
        <f>IF(S111="Y",5,0)+IF(T111="Y",5,0)+IF(U111&gt;=3,5,IF(U111&gt;=1,2,0))</f>
        <v/>
      </c>
      <c r="AC111" s="3">
        <f>IF(V111&gt;=2,8,IF(V111&gt;=1,5,0))+IF(W111="Y",4,0)+IF(X111="Y",3,0)</f>
        <v/>
      </c>
      <c r="AD111" s="3">
        <f>IF(A111="","",IF(OR(H111="Y",I111&lt;2),"",ROUND(Y111+Z111+AA111+AB111+AC111,0)))</f>
        <v/>
      </c>
      <c r="AE111" s="3">
        <f>IF(A111="","",IF(H111="Y","Not recommended: active recall",IF(I111&lt;2,"Not enough evidence yet","Scored")))</f>
        <v/>
      </c>
      <c r="AF111" s="3">
        <f>IF(AD111="","",IF(AD111&gt;=85,"Excellent",IF(AD111&gt;=70,"Good",IF(AD111&gt;=55,"Fair","Poor"))))</f>
        <v/>
      </c>
      <c r="AG111" s="3">
        <f>IF(AD111="","",IF(OR(G111="Y",I111&gt;=5),"High",IF(I111&gt;=3,"Medium","Low")))</f>
        <v/>
      </c>
    </row>
    <row r="112">
      <c r="Y112" s="3">
        <f>IF(I112&gt;=3,10,IF(I112=2,5,0))+IF(J112="Y",10,IF(J112="Partial",5,0))+IF(K112="Y",10,0)</f>
        <v/>
      </c>
      <c r="Z112" s="3">
        <f>IF(M112="Y",IF(L112="Y",8,0)+IF(N112="Y",8,0)+IF(O112="Y",4,0),ROUND((IF(L112="Y",8,0)+IF(O112="Y",4,0))*20/12,1))</f>
        <v/>
      </c>
      <c r="AA112" s="3">
        <f>IF(P112="Y",8,IF(P112="Partial",4,0))+IF(Q112="Y",6,IF(Q112="Partial",3,0))+IF(R112="Y",6,0)</f>
        <v/>
      </c>
      <c r="AB112" s="3">
        <f>IF(S112="Y",5,0)+IF(T112="Y",5,0)+IF(U112&gt;=3,5,IF(U112&gt;=1,2,0))</f>
        <v/>
      </c>
      <c r="AC112" s="3">
        <f>IF(V112&gt;=2,8,IF(V112&gt;=1,5,0))+IF(W112="Y",4,0)+IF(X112="Y",3,0)</f>
        <v/>
      </c>
      <c r="AD112" s="3">
        <f>IF(A112="","",IF(OR(H112="Y",I112&lt;2),"",ROUND(Y112+Z112+AA112+AB112+AC112,0)))</f>
        <v/>
      </c>
      <c r="AE112" s="3">
        <f>IF(A112="","",IF(H112="Y","Not recommended: active recall",IF(I112&lt;2,"Not enough evidence yet","Scored")))</f>
        <v/>
      </c>
      <c r="AF112" s="3">
        <f>IF(AD112="","",IF(AD112&gt;=85,"Excellent",IF(AD112&gt;=70,"Good",IF(AD112&gt;=55,"Fair","Poor"))))</f>
        <v/>
      </c>
      <c r="AG112" s="3">
        <f>IF(AD112="","",IF(OR(G112="Y",I112&gt;=5),"High",IF(I112&gt;=3,"Medium","Low")))</f>
        <v/>
      </c>
    </row>
    <row r="113">
      <c r="Y113" s="3">
        <f>IF(I113&gt;=3,10,IF(I113=2,5,0))+IF(J113="Y",10,IF(J113="Partial",5,0))+IF(K113="Y",10,0)</f>
        <v/>
      </c>
      <c r="Z113" s="3">
        <f>IF(M113="Y",IF(L113="Y",8,0)+IF(N113="Y",8,0)+IF(O113="Y",4,0),ROUND((IF(L113="Y",8,0)+IF(O113="Y",4,0))*20/12,1))</f>
        <v/>
      </c>
      <c r="AA113" s="3">
        <f>IF(P113="Y",8,IF(P113="Partial",4,0))+IF(Q113="Y",6,IF(Q113="Partial",3,0))+IF(R113="Y",6,0)</f>
        <v/>
      </c>
      <c r="AB113" s="3">
        <f>IF(S113="Y",5,0)+IF(T113="Y",5,0)+IF(U113&gt;=3,5,IF(U113&gt;=1,2,0))</f>
        <v/>
      </c>
      <c r="AC113" s="3">
        <f>IF(V113&gt;=2,8,IF(V113&gt;=1,5,0))+IF(W113="Y",4,0)+IF(X113="Y",3,0)</f>
        <v/>
      </c>
      <c r="AD113" s="3">
        <f>IF(A113="","",IF(OR(H113="Y",I113&lt;2),"",ROUND(Y113+Z113+AA113+AB113+AC113,0)))</f>
        <v/>
      </c>
      <c r="AE113" s="3">
        <f>IF(A113="","",IF(H113="Y","Not recommended: active recall",IF(I113&lt;2,"Not enough evidence yet","Scored")))</f>
        <v/>
      </c>
      <c r="AF113" s="3">
        <f>IF(AD113="","",IF(AD113&gt;=85,"Excellent",IF(AD113&gt;=70,"Good",IF(AD113&gt;=55,"Fair","Poor"))))</f>
        <v/>
      </c>
      <c r="AG113" s="3">
        <f>IF(AD113="","",IF(OR(G113="Y",I113&gt;=5),"High",IF(I113&gt;=3,"Medium","Low")))</f>
        <v/>
      </c>
    </row>
    <row r="114">
      <c r="Y114" s="3">
        <f>IF(I114&gt;=3,10,IF(I114=2,5,0))+IF(J114="Y",10,IF(J114="Partial",5,0))+IF(K114="Y",10,0)</f>
        <v/>
      </c>
      <c r="Z114" s="3">
        <f>IF(M114="Y",IF(L114="Y",8,0)+IF(N114="Y",8,0)+IF(O114="Y",4,0),ROUND((IF(L114="Y",8,0)+IF(O114="Y",4,0))*20/12,1))</f>
        <v/>
      </c>
      <c r="AA114" s="3">
        <f>IF(P114="Y",8,IF(P114="Partial",4,0))+IF(Q114="Y",6,IF(Q114="Partial",3,0))+IF(R114="Y",6,0)</f>
        <v/>
      </c>
      <c r="AB114" s="3">
        <f>IF(S114="Y",5,0)+IF(T114="Y",5,0)+IF(U114&gt;=3,5,IF(U114&gt;=1,2,0))</f>
        <v/>
      </c>
      <c r="AC114" s="3">
        <f>IF(V114&gt;=2,8,IF(V114&gt;=1,5,0))+IF(W114="Y",4,0)+IF(X114="Y",3,0)</f>
        <v/>
      </c>
      <c r="AD114" s="3">
        <f>IF(A114="","",IF(OR(H114="Y",I114&lt;2),"",ROUND(Y114+Z114+AA114+AB114+AC114,0)))</f>
        <v/>
      </c>
      <c r="AE114" s="3">
        <f>IF(A114="","",IF(H114="Y","Not recommended: active recall",IF(I114&lt;2,"Not enough evidence yet","Scored")))</f>
        <v/>
      </c>
      <c r="AF114" s="3">
        <f>IF(AD114="","",IF(AD114&gt;=85,"Excellent",IF(AD114&gt;=70,"Good",IF(AD114&gt;=55,"Fair","Poor"))))</f>
        <v/>
      </c>
      <c r="AG114" s="3">
        <f>IF(AD114="","",IF(OR(G114="Y",I114&gt;=5),"High",IF(I114&gt;=3,"Medium","Low")))</f>
        <v/>
      </c>
    </row>
    <row r="115">
      <c r="Y115" s="3">
        <f>IF(I115&gt;=3,10,IF(I115=2,5,0))+IF(J115="Y",10,IF(J115="Partial",5,0))+IF(K115="Y",10,0)</f>
        <v/>
      </c>
      <c r="Z115" s="3">
        <f>IF(M115="Y",IF(L115="Y",8,0)+IF(N115="Y",8,0)+IF(O115="Y",4,0),ROUND((IF(L115="Y",8,0)+IF(O115="Y",4,0))*20/12,1))</f>
        <v/>
      </c>
      <c r="AA115" s="3">
        <f>IF(P115="Y",8,IF(P115="Partial",4,0))+IF(Q115="Y",6,IF(Q115="Partial",3,0))+IF(R115="Y",6,0)</f>
        <v/>
      </c>
      <c r="AB115" s="3">
        <f>IF(S115="Y",5,0)+IF(T115="Y",5,0)+IF(U115&gt;=3,5,IF(U115&gt;=1,2,0))</f>
        <v/>
      </c>
      <c r="AC115" s="3">
        <f>IF(V115&gt;=2,8,IF(V115&gt;=1,5,0))+IF(W115="Y",4,0)+IF(X115="Y",3,0)</f>
        <v/>
      </c>
      <c r="AD115" s="3">
        <f>IF(A115="","",IF(OR(H115="Y",I115&lt;2),"",ROUND(Y115+Z115+AA115+AB115+AC115,0)))</f>
        <v/>
      </c>
      <c r="AE115" s="3">
        <f>IF(A115="","",IF(H115="Y","Not recommended: active recall",IF(I115&lt;2,"Not enough evidence yet","Scored")))</f>
        <v/>
      </c>
      <c r="AF115" s="3">
        <f>IF(AD115="","",IF(AD115&gt;=85,"Excellent",IF(AD115&gt;=70,"Good",IF(AD115&gt;=55,"Fair","Poor"))))</f>
        <v/>
      </c>
      <c r="AG115" s="3">
        <f>IF(AD115="","",IF(OR(G115="Y",I115&gt;=5),"High",IF(I115&gt;=3,"Medium","Low")))</f>
        <v/>
      </c>
    </row>
    <row r="116">
      <c r="Y116" s="3">
        <f>IF(I116&gt;=3,10,IF(I116=2,5,0))+IF(J116="Y",10,IF(J116="Partial",5,0))+IF(K116="Y",10,0)</f>
        <v/>
      </c>
      <c r="Z116" s="3">
        <f>IF(M116="Y",IF(L116="Y",8,0)+IF(N116="Y",8,0)+IF(O116="Y",4,0),ROUND((IF(L116="Y",8,0)+IF(O116="Y",4,0))*20/12,1))</f>
        <v/>
      </c>
      <c r="AA116" s="3">
        <f>IF(P116="Y",8,IF(P116="Partial",4,0))+IF(Q116="Y",6,IF(Q116="Partial",3,0))+IF(R116="Y",6,0)</f>
        <v/>
      </c>
      <c r="AB116" s="3">
        <f>IF(S116="Y",5,0)+IF(T116="Y",5,0)+IF(U116&gt;=3,5,IF(U116&gt;=1,2,0))</f>
        <v/>
      </c>
      <c r="AC116" s="3">
        <f>IF(V116&gt;=2,8,IF(V116&gt;=1,5,0))+IF(W116="Y",4,0)+IF(X116="Y",3,0)</f>
        <v/>
      </c>
      <c r="AD116" s="3">
        <f>IF(A116="","",IF(OR(H116="Y",I116&lt;2),"",ROUND(Y116+Z116+AA116+AB116+AC116,0)))</f>
        <v/>
      </c>
      <c r="AE116" s="3">
        <f>IF(A116="","",IF(H116="Y","Not recommended: active recall",IF(I116&lt;2,"Not enough evidence yet","Scored")))</f>
        <v/>
      </c>
      <c r="AF116" s="3">
        <f>IF(AD116="","",IF(AD116&gt;=85,"Excellent",IF(AD116&gt;=70,"Good",IF(AD116&gt;=55,"Fair","Poor"))))</f>
        <v/>
      </c>
      <c r="AG116" s="3">
        <f>IF(AD116="","",IF(OR(G116="Y",I116&gt;=5),"High",IF(I116&gt;=3,"Medium","Low")))</f>
        <v/>
      </c>
    </row>
    <row r="117">
      <c r="Y117" s="3">
        <f>IF(I117&gt;=3,10,IF(I117=2,5,0))+IF(J117="Y",10,IF(J117="Partial",5,0))+IF(K117="Y",10,0)</f>
        <v/>
      </c>
      <c r="Z117" s="3">
        <f>IF(M117="Y",IF(L117="Y",8,0)+IF(N117="Y",8,0)+IF(O117="Y",4,0),ROUND((IF(L117="Y",8,0)+IF(O117="Y",4,0))*20/12,1))</f>
        <v/>
      </c>
      <c r="AA117" s="3">
        <f>IF(P117="Y",8,IF(P117="Partial",4,0))+IF(Q117="Y",6,IF(Q117="Partial",3,0))+IF(R117="Y",6,0)</f>
        <v/>
      </c>
      <c r="AB117" s="3">
        <f>IF(S117="Y",5,0)+IF(T117="Y",5,0)+IF(U117&gt;=3,5,IF(U117&gt;=1,2,0))</f>
        <v/>
      </c>
      <c r="AC117" s="3">
        <f>IF(V117&gt;=2,8,IF(V117&gt;=1,5,0))+IF(W117="Y",4,0)+IF(X117="Y",3,0)</f>
        <v/>
      </c>
      <c r="AD117" s="3">
        <f>IF(A117="","",IF(OR(H117="Y",I117&lt;2),"",ROUND(Y117+Z117+AA117+AB117+AC117,0)))</f>
        <v/>
      </c>
      <c r="AE117" s="3">
        <f>IF(A117="","",IF(H117="Y","Not recommended: active recall",IF(I117&lt;2,"Not enough evidence yet","Scored")))</f>
        <v/>
      </c>
      <c r="AF117" s="3">
        <f>IF(AD117="","",IF(AD117&gt;=85,"Excellent",IF(AD117&gt;=70,"Good",IF(AD117&gt;=55,"Fair","Poor"))))</f>
        <v/>
      </c>
      <c r="AG117" s="3">
        <f>IF(AD117="","",IF(OR(G117="Y",I117&gt;=5),"High",IF(I117&gt;=3,"Medium","Low")))</f>
        <v/>
      </c>
    </row>
    <row r="118">
      <c r="Y118" s="3">
        <f>IF(I118&gt;=3,10,IF(I118=2,5,0))+IF(J118="Y",10,IF(J118="Partial",5,0))+IF(K118="Y",10,0)</f>
        <v/>
      </c>
      <c r="Z118" s="3">
        <f>IF(M118="Y",IF(L118="Y",8,0)+IF(N118="Y",8,0)+IF(O118="Y",4,0),ROUND((IF(L118="Y",8,0)+IF(O118="Y",4,0))*20/12,1))</f>
        <v/>
      </c>
      <c r="AA118" s="3">
        <f>IF(P118="Y",8,IF(P118="Partial",4,0))+IF(Q118="Y",6,IF(Q118="Partial",3,0))+IF(R118="Y",6,0)</f>
        <v/>
      </c>
      <c r="AB118" s="3">
        <f>IF(S118="Y",5,0)+IF(T118="Y",5,0)+IF(U118&gt;=3,5,IF(U118&gt;=1,2,0))</f>
        <v/>
      </c>
      <c r="AC118" s="3">
        <f>IF(V118&gt;=2,8,IF(V118&gt;=1,5,0))+IF(W118="Y",4,0)+IF(X118="Y",3,0)</f>
        <v/>
      </c>
      <c r="AD118" s="3">
        <f>IF(A118="","",IF(OR(H118="Y",I118&lt;2),"",ROUND(Y118+Z118+AA118+AB118+AC118,0)))</f>
        <v/>
      </c>
      <c r="AE118" s="3">
        <f>IF(A118="","",IF(H118="Y","Not recommended: active recall",IF(I118&lt;2,"Not enough evidence yet","Scored")))</f>
        <v/>
      </c>
      <c r="AF118" s="3">
        <f>IF(AD118="","",IF(AD118&gt;=85,"Excellent",IF(AD118&gt;=70,"Good",IF(AD118&gt;=55,"Fair","Poor"))))</f>
        <v/>
      </c>
      <c r="AG118" s="3">
        <f>IF(AD118="","",IF(OR(G118="Y",I118&gt;=5),"High",IF(I118&gt;=3,"Medium","Low")))</f>
        <v/>
      </c>
    </row>
    <row r="119">
      <c r="Y119" s="3">
        <f>IF(I119&gt;=3,10,IF(I119=2,5,0))+IF(J119="Y",10,IF(J119="Partial",5,0))+IF(K119="Y",10,0)</f>
        <v/>
      </c>
      <c r="Z119" s="3">
        <f>IF(M119="Y",IF(L119="Y",8,0)+IF(N119="Y",8,0)+IF(O119="Y",4,0),ROUND((IF(L119="Y",8,0)+IF(O119="Y",4,0))*20/12,1))</f>
        <v/>
      </c>
      <c r="AA119" s="3">
        <f>IF(P119="Y",8,IF(P119="Partial",4,0))+IF(Q119="Y",6,IF(Q119="Partial",3,0))+IF(R119="Y",6,0)</f>
        <v/>
      </c>
      <c r="AB119" s="3">
        <f>IF(S119="Y",5,0)+IF(T119="Y",5,0)+IF(U119&gt;=3,5,IF(U119&gt;=1,2,0))</f>
        <v/>
      </c>
      <c r="AC119" s="3">
        <f>IF(V119&gt;=2,8,IF(V119&gt;=1,5,0))+IF(W119="Y",4,0)+IF(X119="Y",3,0)</f>
        <v/>
      </c>
      <c r="AD119" s="3">
        <f>IF(A119="","",IF(OR(H119="Y",I119&lt;2),"",ROUND(Y119+Z119+AA119+AB119+AC119,0)))</f>
        <v/>
      </c>
      <c r="AE119" s="3">
        <f>IF(A119="","",IF(H119="Y","Not recommended: active recall",IF(I119&lt;2,"Not enough evidence yet","Scored")))</f>
        <v/>
      </c>
      <c r="AF119" s="3">
        <f>IF(AD119="","",IF(AD119&gt;=85,"Excellent",IF(AD119&gt;=70,"Good",IF(AD119&gt;=55,"Fair","Poor"))))</f>
        <v/>
      </c>
      <c r="AG119" s="3">
        <f>IF(AD119="","",IF(OR(G119="Y",I119&gt;=5),"High",IF(I119&gt;=3,"Medium","Low")))</f>
        <v/>
      </c>
    </row>
    <row r="120">
      <c r="Y120" s="3">
        <f>IF(I120&gt;=3,10,IF(I120=2,5,0))+IF(J120="Y",10,IF(J120="Partial",5,0))+IF(K120="Y",10,0)</f>
        <v/>
      </c>
      <c r="Z120" s="3">
        <f>IF(M120="Y",IF(L120="Y",8,0)+IF(N120="Y",8,0)+IF(O120="Y",4,0),ROUND((IF(L120="Y",8,0)+IF(O120="Y",4,0))*20/12,1))</f>
        <v/>
      </c>
      <c r="AA120" s="3">
        <f>IF(P120="Y",8,IF(P120="Partial",4,0))+IF(Q120="Y",6,IF(Q120="Partial",3,0))+IF(R120="Y",6,0)</f>
        <v/>
      </c>
      <c r="AB120" s="3">
        <f>IF(S120="Y",5,0)+IF(T120="Y",5,0)+IF(U120&gt;=3,5,IF(U120&gt;=1,2,0))</f>
        <v/>
      </c>
      <c r="AC120" s="3">
        <f>IF(V120&gt;=2,8,IF(V120&gt;=1,5,0))+IF(W120="Y",4,0)+IF(X120="Y",3,0)</f>
        <v/>
      </c>
      <c r="AD120" s="3">
        <f>IF(A120="","",IF(OR(H120="Y",I120&lt;2),"",ROUND(Y120+Z120+AA120+AB120+AC120,0)))</f>
        <v/>
      </c>
      <c r="AE120" s="3">
        <f>IF(A120="","",IF(H120="Y","Not recommended: active recall",IF(I120&lt;2,"Not enough evidence yet","Scored")))</f>
        <v/>
      </c>
      <c r="AF120" s="3">
        <f>IF(AD120="","",IF(AD120&gt;=85,"Excellent",IF(AD120&gt;=70,"Good",IF(AD120&gt;=55,"Fair","Poor"))))</f>
        <v/>
      </c>
      <c r="AG120" s="3">
        <f>IF(AD120="","",IF(OR(G120="Y",I120&gt;=5),"High",IF(I120&gt;=3,"Medium","Low")))</f>
        <v/>
      </c>
    </row>
    <row r="121">
      <c r="Y121" s="3">
        <f>IF(I121&gt;=3,10,IF(I121=2,5,0))+IF(J121="Y",10,IF(J121="Partial",5,0))+IF(K121="Y",10,0)</f>
        <v/>
      </c>
      <c r="Z121" s="3">
        <f>IF(M121="Y",IF(L121="Y",8,0)+IF(N121="Y",8,0)+IF(O121="Y",4,0),ROUND((IF(L121="Y",8,0)+IF(O121="Y",4,0))*20/12,1))</f>
        <v/>
      </c>
      <c r="AA121" s="3">
        <f>IF(P121="Y",8,IF(P121="Partial",4,0))+IF(Q121="Y",6,IF(Q121="Partial",3,0))+IF(R121="Y",6,0)</f>
        <v/>
      </c>
      <c r="AB121" s="3">
        <f>IF(S121="Y",5,0)+IF(T121="Y",5,0)+IF(U121&gt;=3,5,IF(U121&gt;=1,2,0))</f>
        <v/>
      </c>
      <c r="AC121" s="3">
        <f>IF(V121&gt;=2,8,IF(V121&gt;=1,5,0))+IF(W121="Y",4,0)+IF(X121="Y",3,0)</f>
        <v/>
      </c>
      <c r="AD121" s="3">
        <f>IF(A121="","",IF(OR(H121="Y",I121&lt;2),"",ROUND(Y121+Z121+AA121+AB121+AC121,0)))</f>
        <v/>
      </c>
      <c r="AE121" s="3">
        <f>IF(A121="","",IF(H121="Y","Not recommended: active recall",IF(I121&lt;2,"Not enough evidence yet","Scored")))</f>
        <v/>
      </c>
      <c r="AF121" s="3">
        <f>IF(AD121="","",IF(AD121&gt;=85,"Excellent",IF(AD121&gt;=70,"Good",IF(AD121&gt;=55,"Fair","Poor"))))</f>
        <v/>
      </c>
      <c r="AG121" s="3">
        <f>IF(AD121="","",IF(OR(G121="Y",I121&gt;=5),"High",IF(I121&gt;=3,"Medium","Low")))</f>
        <v/>
      </c>
    </row>
    <row r="122">
      <c r="Y122" s="3">
        <f>IF(I122&gt;=3,10,IF(I122=2,5,0))+IF(J122="Y",10,IF(J122="Partial",5,0))+IF(K122="Y",10,0)</f>
        <v/>
      </c>
      <c r="Z122" s="3">
        <f>IF(M122="Y",IF(L122="Y",8,0)+IF(N122="Y",8,0)+IF(O122="Y",4,0),ROUND((IF(L122="Y",8,0)+IF(O122="Y",4,0))*20/12,1))</f>
        <v/>
      </c>
      <c r="AA122" s="3">
        <f>IF(P122="Y",8,IF(P122="Partial",4,0))+IF(Q122="Y",6,IF(Q122="Partial",3,0))+IF(R122="Y",6,0)</f>
        <v/>
      </c>
      <c r="AB122" s="3">
        <f>IF(S122="Y",5,0)+IF(T122="Y",5,0)+IF(U122&gt;=3,5,IF(U122&gt;=1,2,0))</f>
        <v/>
      </c>
      <c r="AC122" s="3">
        <f>IF(V122&gt;=2,8,IF(V122&gt;=1,5,0))+IF(W122="Y",4,0)+IF(X122="Y",3,0)</f>
        <v/>
      </c>
      <c r="AD122" s="3">
        <f>IF(A122="","",IF(OR(H122="Y",I122&lt;2),"",ROUND(Y122+Z122+AA122+AB122+AC122,0)))</f>
        <v/>
      </c>
      <c r="AE122" s="3">
        <f>IF(A122="","",IF(H122="Y","Not recommended: active recall",IF(I122&lt;2,"Not enough evidence yet","Scored")))</f>
        <v/>
      </c>
      <c r="AF122" s="3">
        <f>IF(AD122="","",IF(AD122&gt;=85,"Excellent",IF(AD122&gt;=70,"Good",IF(AD122&gt;=55,"Fair","Poor"))))</f>
        <v/>
      </c>
      <c r="AG122" s="3">
        <f>IF(AD122="","",IF(OR(G122="Y",I122&gt;=5),"High",IF(I122&gt;=3,"Medium","Low")))</f>
        <v/>
      </c>
    </row>
    <row r="123">
      <c r="Y123" s="3">
        <f>IF(I123&gt;=3,10,IF(I123=2,5,0))+IF(J123="Y",10,IF(J123="Partial",5,0))+IF(K123="Y",10,0)</f>
        <v/>
      </c>
      <c r="Z123" s="3">
        <f>IF(M123="Y",IF(L123="Y",8,0)+IF(N123="Y",8,0)+IF(O123="Y",4,0),ROUND((IF(L123="Y",8,0)+IF(O123="Y",4,0))*20/12,1))</f>
        <v/>
      </c>
      <c r="AA123" s="3">
        <f>IF(P123="Y",8,IF(P123="Partial",4,0))+IF(Q123="Y",6,IF(Q123="Partial",3,0))+IF(R123="Y",6,0)</f>
        <v/>
      </c>
      <c r="AB123" s="3">
        <f>IF(S123="Y",5,0)+IF(T123="Y",5,0)+IF(U123&gt;=3,5,IF(U123&gt;=1,2,0))</f>
        <v/>
      </c>
      <c r="AC123" s="3">
        <f>IF(V123&gt;=2,8,IF(V123&gt;=1,5,0))+IF(W123="Y",4,0)+IF(X123="Y",3,0)</f>
        <v/>
      </c>
      <c r="AD123" s="3">
        <f>IF(A123="","",IF(OR(H123="Y",I123&lt;2),"",ROUND(Y123+Z123+AA123+AB123+AC123,0)))</f>
        <v/>
      </c>
      <c r="AE123" s="3">
        <f>IF(A123="","",IF(H123="Y","Not recommended: active recall",IF(I123&lt;2,"Not enough evidence yet","Scored")))</f>
        <v/>
      </c>
      <c r="AF123" s="3">
        <f>IF(AD123="","",IF(AD123&gt;=85,"Excellent",IF(AD123&gt;=70,"Good",IF(AD123&gt;=55,"Fair","Poor"))))</f>
        <v/>
      </c>
      <c r="AG123" s="3">
        <f>IF(AD123="","",IF(OR(G123="Y",I123&gt;=5),"High",IF(I123&gt;=3,"Medium","Low")))</f>
        <v/>
      </c>
    </row>
    <row r="124">
      <c r="Y124" s="3">
        <f>IF(I124&gt;=3,10,IF(I124=2,5,0))+IF(J124="Y",10,IF(J124="Partial",5,0))+IF(K124="Y",10,0)</f>
        <v/>
      </c>
      <c r="Z124" s="3">
        <f>IF(M124="Y",IF(L124="Y",8,0)+IF(N124="Y",8,0)+IF(O124="Y",4,0),ROUND((IF(L124="Y",8,0)+IF(O124="Y",4,0))*20/12,1))</f>
        <v/>
      </c>
      <c r="AA124" s="3">
        <f>IF(P124="Y",8,IF(P124="Partial",4,0))+IF(Q124="Y",6,IF(Q124="Partial",3,0))+IF(R124="Y",6,0)</f>
        <v/>
      </c>
      <c r="AB124" s="3">
        <f>IF(S124="Y",5,0)+IF(T124="Y",5,0)+IF(U124&gt;=3,5,IF(U124&gt;=1,2,0))</f>
        <v/>
      </c>
      <c r="AC124" s="3">
        <f>IF(V124&gt;=2,8,IF(V124&gt;=1,5,0))+IF(W124="Y",4,0)+IF(X124="Y",3,0)</f>
        <v/>
      </c>
      <c r="AD124" s="3">
        <f>IF(A124="","",IF(OR(H124="Y",I124&lt;2),"",ROUND(Y124+Z124+AA124+AB124+AC124,0)))</f>
        <v/>
      </c>
      <c r="AE124" s="3">
        <f>IF(A124="","",IF(H124="Y","Not recommended: active recall",IF(I124&lt;2,"Not enough evidence yet","Scored")))</f>
        <v/>
      </c>
      <c r="AF124" s="3">
        <f>IF(AD124="","",IF(AD124&gt;=85,"Excellent",IF(AD124&gt;=70,"Good",IF(AD124&gt;=55,"Fair","Poor"))))</f>
        <v/>
      </c>
      <c r="AG124" s="3">
        <f>IF(AD124="","",IF(OR(G124="Y",I124&gt;=5),"High",IF(I124&gt;=3,"Medium","Low")))</f>
        <v/>
      </c>
    </row>
    <row r="125">
      <c r="Y125" s="3">
        <f>IF(I125&gt;=3,10,IF(I125=2,5,0))+IF(J125="Y",10,IF(J125="Partial",5,0))+IF(K125="Y",10,0)</f>
        <v/>
      </c>
      <c r="Z125" s="3">
        <f>IF(M125="Y",IF(L125="Y",8,0)+IF(N125="Y",8,0)+IF(O125="Y",4,0),ROUND((IF(L125="Y",8,0)+IF(O125="Y",4,0))*20/12,1))</f>
        <v/>
      </c>
      <c r="AA125" s="3">
        <f>IF(P125="Y",8,IF(P125="Partial",4,0))+IF(Q125="Y",6,IF(Q125="Partial",3,0))+IF(R125="Y",6,0)</f>
        <v/>
      </c>
      <c r="AB125" s="3">
        <f>IF(S125="Y",5,0)+IF(T125="Y",5,0)+IF(U125&gt;=3,5,IF(U125&gt;=1,2,0))</f>
        <v/>
      </c>
      <c r="AC125" s="3">
        <f>IF(V125&gt;=2,8,IF(V125&gt;=1,5,0))+IF(W125="Y",4,0)+IF(X125="Y",3,0)</f>
        <v/>
      </c>
      <c r="AD125" s="3">
        <f>IF(A125="","",IF(OR(H125="Y",I125&lt;2),"",ROUND(Y125+Z125+AA125+AB125+AC125,0)))</f>
        <v/>
      </c>
      <c r="AE125" s="3">
        <f>IF(A125="","",IF(H125="Y","Not recommended: active recall",IF(I125&lt;2,"Not enough evidence yet","Scored")))</f>
        <v/>
      </c>
      <c r="AF125" s="3">
        <f>IF(AD125="","",IF(AD125&gt;=85,"Excellent",IF(AD125&gt;=70,"Good",IF(AD125&gt;=55,"Fair","Poor"))))</f>
        <v/>
      </c>
      <c r="AG125" s="3">
        <f>IF(AD125="","",IF(OR(G125="Y",I125&gt;=5),"High",IF(I125&gt;=3,"Medium","Low")))</f>
        <v/>
      </c>
    </row>
    <row r="126">
      <c r="Y126" s="3">
        <f>IF(I126&gt;=3,10,IF(I126=2,5,0))+IF(J126="Y",10,IF(J126="Partial",5,0))+IF(K126="Y",10,0)</f>
        <v/>
      </c>
      <c r="Z126" s="3">
        <f>IF(M126="Y",IF(L126="Y",8,0)+IF(N126="Y",8,0)+IF(O126="Y",4,0),ROUND((IF(L126="Y",8,0)+IF(O126="Y",4,0))*20/12,1))</f>
        <v/>
      </c>
      <c r="AA126" s="3">
        <f>IF(P126="Y",8,IF(P126="Partial",4,0))+IF(Q126="Y",6,IF(Q126="Partial",3,0))+IF(R126="Y",6,0)</f>
        <v/>
      </c>
      <c r="AB126" s="3">
        <f>IF(S126="Y",5,0)+IF(T126="Y",5,0)+IF(U126&gt;=3,5,IF(U126&gt;=1,2,0))</f>
        <v/>
      </c>
      <c r="AC126" s="3">
        <f>IF(V126&gt;=2,8,IF(V126&gt;=1,5,0))+IF(W126="Y",4,0)+IF(X126="Y",3,0)</f>
        <v/>
      </c>
      <c r="AD126" s="3">
        <f>IF(A126="","",IF(OR(H126="Y",I126&lt;2),"",ROUND(Y126+Z126+AA126+AB126+AC126,0)))</f>
        <v/>
      </c>
      <c r="AE126" s="3">
        <f>IF(A126="","",IF(H126="Y","Not recommended: active recall",IF(I126&lt;2,"Not enough evidence yet","Scored")))</f>
        <v/>
      </c>
      <c r="AF126" s="3">
        <f>IF(AD126="","",IF(AD126&gt;=85,"Excellent",IF(AD126&gt;=70,"Good",IF(AD126&gt;=55,"Fair","Poor"))))</f>
        <v/>
      </c>
      <c r="AG126" s="3">
        <f>IF(AD126="","",IF(OR(G126="Y",I126&gt;=5),"High",IF(I126&gt;=3,"Medium","Low")))</f>
        <v/>
      </c>
    </row>
    <row r="127">
      <c r="Y127" s="3">
        <f>IF(I127&gt;=3,10,IF(I127=2,5,0))+IF(J127="Y",10,IF(J127="Partial",5,0))+IF(K127="Y",10,0)</f>
        <v/>
      </c>
      <c r="Z127" s="3">
        <f>IF(M127="Y",IF(L127="Y",8,0)+IF(N127="Y",8,0)+IF(O127="Y",4,0),ROUND((IF(L127="Y",8,0)+IF(O127="Y",4,0))*20/12,1))</f>
        <v/>
      </c>
      <c r="AA127" s="3">
        <f>IF(P127="Y",8,IF(P127="Partial",4,0))+IF(Q127="Y",6,IF(Q127="Partial",3,0))+IF(R127="Y",6,0)</f>
        <v/>
      </c>
      <c r="AB127" s="3">
        <f>IF(S127="Y",5,0)+IF(T127="Y",5,0)+IF(U127&gt;=3,5,IF(U127&gt;=1,2,0))</f>
        <v/>
      </c>
      <c r="AC127" s="3">
        <f>IF(V127&gt;=2,8,IF(V127&gt;=1,5,0))+IF(W127="Y",4,0)+IF(X127="Y",3,0)</f>
        <v/>
      </c>
      <c r="AD127" s="3">
        <f>IF(A127="","",IF(OR(H127="Y",I127&lt;2),"",ROUND(Y127+Z127+AA127+AB127+AC127,0)))</f>
        <v/>
      </c>
      <c r="AE127" s="3">
        <f>IF(A127="","",IF(H127="Y","Not recommended: active recall",IF(I127&lt;2,"Not enough evidence yet","Scored")))</f>
        <v/>
      </c>
      <c r="AF127" s="3">
        <f>IF(AD127="","",IF(AD127&gt;=85,"Excellent",IF(AD127&gt;=70,"Good",IF(AD127&gt;=55,"Fair","Poor"))))</f>
        <v/>
      </c>
      <c r="AG127" s="3">
        <f>IF(AD127="","",IF(OR(G127="Y",I127&gt;=5),"High",IF(I127&gt;=3,"Medium","Low")))</f>
        <v/>
      </c>
    </row>
    <row r="128">
      <c r="Y128" s="3">
        <f>IF(I128&gt;=3,10,IF(I128=2,5,0))+IF(J128="Y",10,IF(J128="Partial",5,0))+IF(K128="Y",10,0)</f>
        <v/>
      </c>
      <c r="Z128" s="3">
        <f>IF(M128="Y",IF(L128="Y",8,0)+IF(N128="Y",8,0)+IF(O128="Y",4,0),ROUND((IF(L128="Y",8,0)+IF(O128="Y",4,0))*20/12,1))</f>
        <v/>
      </c>
      <c r="AA128" s="3">
        <f>IF(P128="Y",8,IF(P128="Partial",4,0))+IF(Q128="Y",6,IF(Q128="Partial",3,0))+IF(R128="Y",6,0)</f>
        <v/>
      </c>
      <c r="AB128" s="3">
        <f>IF(S128="Y",5,0)+IF(T128="Y",5,0)+IF(U128&gt;=3,5,IF(U128&gt;=1,2,0))</f>
        <v/>
      </c>
      <c r="AC128" s="3">
        <f>IF(V128&gt;=2,8,IF(V128&gt;=1,5,0))+IF(W128="Y",4,0)+IF(X128="Y",3,0)</f>
        <v/>
      </c>
      <c r="AD128" s="3">
        <f>IF(A128="","",IF(OR(H128="Y",I128&lt;2),"",ROUND(Y128+Z128+AA128+AB128+AC128,0)))</f>
        <v/>
      </c>
      <c r="AE128" s="3">
        <f>IF(A128="","",IF(H128="Y","Not recommended: active recall",IF(I128&lt;2,"Not enough evidence yet","Scored")))</f>
        <v/>
      </c>
      <c r="AF128" s="3">
        <f>IF(AD128="","",IF(AD128&gt;=85,"Excellent",IF(AD128&gt;=70,"Good",IF(AD128&gt;=55,"Fair","Poor"))))</f>
        <v/>
      </c>
      <c r="AG128" s="3">
        <f>IF(AD128="","",IF(OR(G128="Y",I128&gt;=5),"High",IF(I128&gt;=3,"Medium","Low")))</f>
        <v/>
      </c>
    </row>
    <row r="129">
      <c r="Y129" s="3">
        <f>IF(I129&gt;=3,10,IF(I129=2,5,0))+IF(J129="Y",10,IF(J129="Partial",5,0))+IF(K129="Y",10,0)</f>
        <v/>
      </c>
      <c r="Z129" s="3">
        <f>IF(M129="Y",IF(L129="Y",8,0)+IF(N129="Y",8,0)+IF(O129="Y",4,0),ROUND((IF(L129="Y",8,0)+IF(O129="Y",4,0))*20/12,1))</f>
        <v/>
      </c>
      <c r="AA129" s="3">
        <f>IF(P129="Y",8,IF(P129="Partial",4,0))+IF(Q129="Y",6,IF(Q129="Partial",3,0))+IF(R129="Y",6,0)</f>
        <v/>
      </c>
      <c r="AB129" s="3">
        <f>IF(S129="Y",5,0)+IF(T129="Y",5,0)+IF(U129&gt;=3,5,IF(U129&gt;=1,2,0))</f>
        <v/>
      </c>
      <c r="AC129" s="3">
        <f>IF(V129&gt;=2,8,IF(V129&gt;=1,5,0))+IF(W129="Y",4,0)+IF(X129="Y",3,0)</f>
        <v/>
      </c>
      <c r="AD129" s="3">
        <f>IF(A129="","",IF(OR(H129="Y",I129&lt;2),"",ROUND(Y129+Z129+AA129+AB129+AC129,0)))</f>
        <v/>
      </c>
      <c r="AE129" s="3">
        <f>IF(A129="","",IF(H129="Y","Not recommended: active recall",IF(I129&lt;2,"Not enough evidence yet","Scored")))</f>
        <v/>
      </c>
      <c r="AF129" s="3">
        <f>IF(AD129="","",IF(AD129&gt;=85,"Excellent",IF(AD129&gt;=70,"Good",IF(AD129&gt;=55,"Fair","Poor"))))</f>
        <v/>
      </c>
      <c r="AG129" s="3">
        <f>IF(AD129="","",IF(OR(G129="Y",I129&gt;=5),"High",IF(I129&gt;=3,"Medium","Low")))</f>
        <v/>
      </c>
    </row>
    <row r="130">
      <c r="Y130" s="3">
        <f>IF(I130&gt;=3,10,IF(I130=2,5,0))+IF(J130="Y",10,IF(J130="Partial",5,0))+IF(K130="Y",10,0)</f>
        <v/>
      </c>
      <c r="Z130" s="3">
        <f>IF(M130="Y",IF(L130="Y",8,0)+IF(N130="Y",8,0)+IF(O130="Y",4,0),ROUND((IF(L130="Y",8,0)+IF(O130="Y",4,0))*20/12,1))</f>
        <v/>
      </c>
      <c r="AA130" s="3">
        <f>IF(P130="Y",8,IF(P130="Partial",4,0))+IF(Q130="Y",6,IF(Q130="Partial",3,0))+IF(R130="Y",6,0)</f>
        <v/>
      </c>
      <c r="AB130" s="3">
        <f>IF(S130="Y",5,0)+IF(T130="Y",5,0)+IF(U130&gt;=3,5,IF(U130&gt;=1,2,0))</f>
        <v/>
      </c>
      <c r="AC130" s="3">
        <f>IF(V130&gt;=2,8,IF(V130&gt;=1,5,0))+IF(W130="Y",4,0)+IF(X130="Y",3,0)</f>
        <v/>
      </c>
      <c r="AD130" s="3">
        <f>IF(A130="","",IF(OR(H130="Y",I130&lt;2),"",ROUND(Y130+Z130+AA130+AB130+AC130,0)))</f>
        <v/>
      </c>
      <c r="AE130" s="3">
        <f>IF(A130="","",IF(H130="Y","Not recommended: active recall",IF(I130&lt;2,"Not enough evidence yet","Scored")))</f>
        <v/>
      </c>
      <c r="AF130" s="3">
        <f>IF(AD130="","",IF(AD130&gt;=85,"Excellent",IF(AD130&gt;=70,"Good",IF(AD130&gt;=55,"Fair","Poor"))))</f>
        <v/>
      </c>
      <c r="AG130" s="3">
        <f>IF(AD130="","",IF(OR(G130="Y",I130&gt;=5),"High",IF(I130&gt;=3,"Medium","Low")))</f>
        <v/>
      </c>
    </row>
    <row r="131">
      <c r="Y131" s="3">
        <f>IF(I131&gt;=3,10,IF(I131=2,5,0))+IF(J131="Y",10,IF(J131="Partial",5,0))+IF(K131="Y",10,0)</f>
        <v/>
      </c>
      <c r="Z131" s="3">
        <f>IF(M131="Y",IF(L131="Y",8,0)+IF(N131="Y",8,0)+IF(O131="Y",4,0),ROUND((IF(L131="Y",8,0)+IF(O131="Y",4,0))*20/12,1))</f>
        <v/>
      </c>
      <c r="AA131" s="3">
        <f>IF(P131="Y",8,IF(P131="Partial",4,0))+IF(Q131="Y",6,IF(Q131="Partial",3,0))+IF(R131="Y",6,0)</f>
        <v/>
      </c>
      <c r="AB131" s="3">
        <f>IF(S131="Y",5,0)+IF(T131="Y",5,0)+IF(U131&gt;=3,5,IF(U131&gt;=1,2,0))</f>
        <v/>
      </c>
      <c r="AC131" s="3">
        <f>IF(V131&gt;=2,8,IF(V131&gt;=1,5,0))+IF(W131="Y",4,0)+IF(X131="Y",3,0)</f>
        <v/>
      </c>
      <c r="AD131" s="3">
        <f>IF(A131="","",IF(OR(H131="Y",I131&lt;2),"",ROUND(Y131+Z131+AA131+AB131+AC131,0)))</f>
        <v/>
      </c>
      <c r="AE131" s="3">
        <f>IF(A131="","",IF(H131="Y","Not recommended: active recall",IF(I131&lt;2,"Not enough evidence yet","Scored")))</f>
        <v/>
      </c>
      <c r="AF131" s="3">
        <f>IF(AD131="","",IF(AD131&gt;=85,"Excellent",IF(AD131&gt;=70,"Good",IF(AD131&gt;=55,"Fair","Poor"))))</f>
        <v/>
      </c>
      <c r="AG131" s="3">
        <f>IF(AD131="","",IF(OR(G131="Y",I131&gt;=5),"High",IF(I131&gt;=3,"Medium","Low")))</f>
        <v/>
      </c>
    </row>
    <row r="132">
      <c r="Y132" s="3">
        <f>IF(I132&gt;=3,10,IF(I132=2,5,0))+IF(J132="Y",10,IF(J132="Partial",5,0))+IF(K132="Y",10,0)</f>
        <v/>
      </c>
      <c r="Z132" s="3">
        <f>IF(M132="Y",IF(L132="Y",8,0)+IF(N132="Y",8,0)+IF(O132="Y",4,0),ROUND((IF(L132="Y",8,0)+IF(O132="Y",4,0))*20/12,1))</f>
        <v/>
      </c>
      <c r="AA132" s="3">
        <f>IF(P132="Y",8,IF(P132="Partial",4,0))+IF(Q132="Y",6,IF(Q132="Partial",3,0))+IF(R132="Y",6,0)</f>
        <v/>
      </c>
      <c r="AB132" s="3">
        <f>IF(S132="Y",5,0)+IF(T132="Y",5,0)+IF(U132&gt;=3,5,IF(U132&gt;=1,2,0))</f>
        <v/>
      </c>
      <c r="AC132" s="3">
        <f>IF(V132&gt;=2,8,IF(V132&gt;=1,5,0))+IF(W132="Y",4,0)+IF(X132="Y",3,0)</f>
        <v/>
      </c>
      <c r="AD132" s="3">
        <f>IF(A132="","",IF(OR(H132="Y",I132&lt;2),"",ROUND(Y132+Z132+AA132+AB132+AC132,0)))</f>
        <v/>
      </c>
      <c r="AE132" s="3">
        <f>IF(A132="","",IF(H132="Y","Not recommended: active recall",IF(I132&lt;2,"Not enough evidence yet","Scored")))</f>
        <v/>
      </c>
      <c r="AF132" s="3">
        <f>IF(AD132="","",IF(AD132&gt;=85,"Excellent",IF(AD132&gt;=70,"Good",IF(AD132&gt;=55,"Fair","Poor"))))</f>
        <v/>
      </c>
      <c r="AG132" s="3">
        <f>IF(AD132="","",IF(OR(G132="Y",I132&gt;=5),"High",IF(I132&gt;=3,"Medium","Low")))</f>
        <v/>
      </c>
    </row>
    <row r="133">
      <c r="Y133" s="3">
        <f>IF(I133&gt;=3,10,IF(I133=2,5,0))+IF(J133="Y",10,IF(J133="Partial",5,0))+IF(K133="Y",10,0)</f>
        <v/>
      </c>
      <c r="Z133" s="3">
        <f>IF(M133="Y",IF(L133="Y",8,0)+IF(N133="Y",8,0)+IF(O133="Y",4,0),ROUND((IF(L133="Y",8,0)+IF(O133="Y",4,0))*20/12,1))</f>
        <v/>
      </c>
      <c r="AA133" s="3">
        <f>IF(P133="Y",8,IF(P133="Partial",4,0))+IF(Q133="Y",6,IF(Q133="Partial",3,0))+IF(R133="Y",6,0)</f>
        <v/>
      </c>
      <c r="AB133" s="3">
        <f>IF(S133="Y",5,0)+IF(T133="Y",5,0)+IF(U133&gt;=3,5,IF(U133&gt;=1,2,0))</f>
        <v/>
      </c>
      <c r="AC133" s="3">
        <f>IF(V133&gt;=2,8,IF(V133&gt;=1,5,0))+IF(W133="Y",4,0)+IF(X133="Y",3,0)</f>
        <v/>
      </c>
      <c r="AD133" s="3">
        <f>IF(A133="","",IF(OR(H133="Y",I133&lt;2),"",ROUND(Y133+Z133+AA133+AB133+AC133,0)))</f>
        <v/>
      </c>
      <c r="AE133" s="3">
        <f>IF(A133="","",IF(H133="Y","Not recommended: active recall",IF(I133&lt;2,"Not enough evidence yet","Scored")))</f>
        <v/>
      </c>
      <c r="AF133" s="3">
        <f>IF(AD133="","",IF(AD133&gt;=85,"Excellent",IF(AD133&gt;=70,"Good",IF(AD133&gt;=55,"Fair","Poor"))))</f>
        <v/>
      </c>
      <c r="AG133" s="3">
        <f>IF(AD133="","",IF(OR(G133="Y",I133&gt;=5),"High",IF(I133&gt;=3,"Medium","Low")))</f>
        <v/>
      </c>
    </row>
    <row r="134">
      <c r="Y134" s="3">
        <f>IF(I134&gt;=3,10,IF(I134=2,5,0))+IF(J134="Y",10,IF(J134="Partial",5,0))+IF(K134="Y",10,0)</f>
        <v/>
      </c>
      <c r="Z134" s="3">
        <f>IF(M134="Y",IF(L134="Y",8,0)+IF(N134="Y",8,0)+IF(O134="Y",4,0),ROUND((IF(L134="Y",8,0)+IF(O134="Y",4,0))*20/12,1))</f>
        <v/>
      </c>
      <c r="AA134" s="3">
        <f>IF(P134="Y",8,IF(P134="Partial",4,0))+IF(Q134="Y",6,IF(Q134="Partial",3,0))+IF(R134="Y",6,0)</f>
        <v/>
      </c>
      <c r="AB134" s="3">
        <f>IF(S134="Y",5,0)+IF(T134="Y",5,0)+IF(U134&gt;=3,5,IF(U134&gt;=1,2,0))</f>
        <v/>
      </c>
      <c r="AC134" s="3">
        <f>IF(V134&gt;=2,8,IF(V134&gt;=1,5,0))+IF(W134="Y",4,0)+IF(X134="Y",3,0)</f>
        <v/>
      </c>
      <c r="AD134" s="3">
        <f>IF(A134="","",IF(OR(H134="Y",I134&lt;2),"",ROUND(Y134+Z134+AA134+AB134+AC134,0)))</f>
        <v/>
      </c>
      <c r="AE134" s="3">
        <f>IF(A134="","",IF(H134="Y","Not recommended: active recall",IF(I134&lt;2,"Not enough evidence yet","Scored")))</f>
        <v/>
      </c>
      <c r="AF134" s="3">
        <f>IF(AD134="","",IF(AD134&gt;=85,"Excellent",IF(AD134&gt;=70,"Good",IF(AD134&gt;=55,"Fair","Poor"))))</f>
        <v/>
      </c>
      <c r="AG134" s="3">
        <f>IF(AD134="","",IF(OR(G134="Y",I134&gt;=5),"High",IF(I134&gt;=3,"Medium","Low")))</f>
        <v/>
      </c>
    </row>
    <row r="135">
      <c r="Y135" s="3">
        <f>IF(I135&gt;=3,10,IF(I135=2,5,0))+IF(J135="Y",10,IF(J135="Partial",5,0))+IF(K135="Y",10,0)</f>
        <v/>
      </c>
      <c r="Z135" s="3">
        <f>IF(M135="Y",IF(L135="Y",8,0)+IF(N135="Y",8,0)+IF(O135="Y",4,0),ROUND((IF(L135="Y",8,0)+IF(O135="Y",4,0))*20/12,1))</f>
        <v/>
      </c>
      <c r="AA135" s="3">
        <f>IF(P135="Y",8,IF(P135="Partial",4,0))+IF(Q135="Y",6,IF(Q135="Partial",3,0))+IF(R135="Y",6,0)</f>
        <v/>
      </c>
      <c r="AB135" s="3">
        <f>IF(S135="Y",5,0)+IF(T135="Y",5,0)+IF(U135&gt;=3,5,IF(U135&gt;=1,2,0))</f>
        <v/>
      </c>
      <c r="AC135" s="3">
        <f>IF(V135&gt;=2,8,IF(V135&gt;=1,5,0))+IF(W135="Y",4,0)+IF(X135="Y",3,0)</f>
        <v/>
      </c>
      <c r="AD135" s="3">
        <f>IF(A135="","",IF(OR(H135="Y",I135&lt;2),"",ROUND(Y135+Z135+AA135+AB135+AC135,0)))</f>
        <v/>
      </c>
      <c r="AE135" s="3">
        <f>IF(A135="","",IF(H135="Y","Not recommended: active recall",IF(I135&lt;2,"Not enough evidence yet","Scored")))</f>
        <v/>
      </c>
      <c r="AF135" s="3">
        <f>IF(AD135="","",IF(AD135&gt;=85,"Excellent",IF(AD135&gt;=70,"Good",IF(AD135&gt;=55,"Fair","Poor"))))</f>
        <v/>
      </c>
      <c r="AG135" s="3">
        <f>IF(AD135="","",IF(OR(G135="Y",I135&gt;=5),"High",IF(I135&gt;=3,"Medium","Low")))</f>
        <v/>
      </c>
    </row>
    <row r="136">
      <c r="Y136" s="3">
        <f>IF(I136&gt;=3,10,IF(I136=2,5,0))+IF(J136="Y",10,IF(J136="Partial",5,0))+IF(K136="Y",10,0)</f>
        <v/>
      </c>
      <c r="Z136" s="3">
        <f>IF(M136="Y",IF(L136="Y",8,0)+IF(N136="Y",8,0)+IF(O136="Y",4,0),ROUND((IF(L136="Y",8,0)+IF(O136="Y",4,0))*20/12,1))</f>
        <v/>
      </c>
      <c r="AA136" s="3">
        <f>IF(P136="Y",8,IF(P136="Partial",4,0))+IF(Q136="Y",6,IF(Q136="Partial",3,0))+IF(R136="Y",6,0)</f>
        <v/>
      </c>
      <c r="AB136" s="3">
        <f>IF(S136="Y",5,0)+IF(T136="Y",5,0)+IF(U136&gt;=3,5,IF(U136&gt;=1,2,0))</f>
        <v/>
      </c>
      <c r="AC136" s="3">
        <f>IF(V136&gt;=2,8,IF(V136&gt;=1,5,0))+IF(W136="Y",4,0)+IF(X136="Y",3,0)</f>
        <v/>
      </c>
      <c r="AD136" s="3">
        <f>IF(A136="","",IF(OR(H136="Y",I136&lt;2),"",ROUND(Y136+Z136+AA136+AB136+AC136,0)))</f>
        <v/>
      </c>
      <c r="AE136" s="3">
        <f>IF(A136="","",IF(H136="Y","Not recommended: active recall",IF(I136&lt;2,"Not enough evidence yet","Scored")))</f>
        <v/>
      </c>
      <c r="AF136" s="3">
        <f>IF(AD136="","",IF(AD136&gt;=85,"Excellent",IF(AD136&gt;=70,"Good",IF(AD136&gt;=55,"Fair","Poor"))))</f>
        <v/>
      </c>
      <c r="AG136" s="3">
        <f>IF(AD136="","",IF(OR(G136="Y",I136&gt;=5),"High",IF(I136&gt;=3,"Medium","Low")))</f>
        <v/>
      </c>
    </row>
    <row r="137">
      <c r="Y137" s="3">
        <f>IF(I137&gt;=3,10,IF(I137=2,5,0))+IF(J137="Y",10,IF(J137="Partial",5,0))+IF(K137="Y",10,0)</f>
        <v/>
      </c>
      <c r="Z137" s="3">
        <f>IF(M137="Y",IF(L137="Y",8,0)+IF(N137="Y",8,0)+IF(O137="Y",4,0),ROUND((IF(L137="Y",8,0)+IF(O137="Y",4,0))*20/12,1))</f>
        <v/>
      </c>
      <c r="AA137" s="3">
        <f>IF(P137="Y",8,IF(P137="Partial",4,0))+IF(Q137="Y",6,IF(Q137="Partial",3,0))+IF(R137="Y",6,0)</f>
        <v/>
      </c>
      <c r="AB137" s="3">
        <f>IF(S137="Y",5,0)+IF(T137="Y",5,0)+IF(U137&gt;=3,5,IF(U137&gt;=1,2,0))</f>
        <v/>
      </c>
      <c r="AC137" s="3">
        <f>IF(V137&gt;=2,8,IF(V137&gt;=1,5,0))+IF(W137="Y",4,0)+IF(X137="Y",3,0)</f>
        <v/>
      </c>
      <c r="AD137" s="3">
        <f>IF(A137="","",IF(OR(H137="Y",I137&lt;2),"",ROUND(Y137+Z137+AA137+AB137+AC137,0)))</f>
        <v/>
      </c>
      <c r="AE137" s="3">
        <f>IF(A137="","",IF(H137="Y","Not recommended: active recall",IF(I137&lt;2,"Not enough evidence yet","Scored")))</f>
        <v/>
      </c>
      <c r="AF137" s="3">
        <f>IF(AD137="","",IF(AD137&gt;=85,"Excellent",IF(AD137&gt;=70,"Good",IF(AD137&gt;=55,"Fair","Poor"))))</f>
        <v/>
      </c>
      <c r="AG137" s="3">
        <f>IF(AD137="","",IF(OR(G137="Y",I137&gt;=5),"High",IF(I137&gt;=3,"Medium","Low")))</f>
        <v/>
      </c>
    </row>
    <row r="138">
      <c r="Y138" s="3">
        <f>IF(I138&gt;=3,10,IF(I138=2,5,0))+IF(J138="Y",10,IF(J138="Partial",5,0))+IF(K138="Y",10,0)</f>
        <v/>
      </c>
      <c r="Z138" s="3">
        <f>IF(M138="Y",IF(L138="Y",8,0)+IF(N138="Y",8,0)+IF(O138="Y",4,0),ROUND((IF(L138="Y",8,0)+IF(O138="Y",4,0))*20/12,1))</f>
        <v/>
      </c>
      <c r="AA138" s="3">
        <f>IF(P138="Y",8,IF(P138="Partial",4,0))+IF(Q138="Y",6,IF(Q138="Partial",3,0))+IF(R138="Y",6,0)</f>
        <v/>
      </c>
      <c r="AB138" s="3">
        <f>IF(S138="Y",5,0)+IF(T138="Y",5,0)+IF(U138&gt;=3,5,IF(U138&gt;=1,2,0))</f>
        <v/>
      </c>
      <c r="AC138" s="3">
        <f>IF(V138&gt;=2,8,IF(V138&gt;=1,5,0))+IF(W138="Y",4,0)+IF(X138="Y",3,0)</f>
        <v/>
      </c>
      <c r="AD138" s="3">
        <f>IF(A138="","",IF(OR(H138="Y",I138&lt;2),"",ROUND(Y138+Z138+AA138+AB138+AC138,0)))</f>
        <v/>
      </c>
      <c r="AE138" s="3">
        <f>IF(A138="","",IF(H138="Y","Not recommended: active recall",IF(I138&lt;2,"Not enough evidence yet","Scored")))</f>
        <v/>
      </c>
      <c r="AF138" s="3">
        <f>IF(AD138="","",IF(AD138&gt;=85,"Excellent",IF(AD138&gt;=70,"Good",IF(AD138&gt;=55,"Fair","Poor"))))</f>
        <v/>
      </c>
      <c r="AG138" s="3">
        <f>IF(AD138="","",IF(OR(G138="Y",I138&gt;=5),"High",IF(I138&gt;=3,"Medium","Low")))</f>
        <v/>
      </c>
    </row>
    <row r="139">
      <c r="Y139" s="3">
        <f>IF(I139&gt;=3,10,IF(I139=2,5,0))+IF(J139="Y",10,IF(J139="Partial",5,0))+IF(K139="Y",10,0)</f>
        <v/>
      </c>
      <c r="Z139" s="3">
        <f>IF(M139="Y",IF(L139="Y",8,0)+IF(N139="Y",8,0)+IF(O139="Y",4,0),ROUND((IF(L139="Y",8,0)+IF(O139="Y",4,0))*20/12,1))</f>
        <v/>
      </c>
      <c r="AA139" s="3">
        <f>IF(P139="Y",8,IF(P139="Partial",4,0))+IF(Q139="Y",6,IF(Q139="Partial",3,0))+IF(R139="Y",6,0)</f>
        <v/>
      </c>
      <c r="AB139" s="3">
        <f>IF(S139="Y",5,0)+IF(T139="Y",5,0)+IF(U139&gt;=3,5,IF(U139&gt;=1,2,0))</f>
        <v/>
      </c>
      <c r="AC139" s="3">
        <f>IF(V139&gt;=2,8,IF(V139&gt;=1,5,0))+IF(W139="Y",4,0)+IF(X139="Y",3,0)</f>
        <v/>
      </c>
      <c r="AD139" s="3">
        <f>IF(A139="","",IF(OR(H139="Y",I139&lt;2),"",ROUND(Y139+Z139+AA139+AB139+AC139,0)))</f>
        <v/>
      </c>
      <c r="AE139" s="3">
        <f>IF(A139="","",IF(H139="Y","Not recommended: active recall",IF(I139&lt;2,"Not enough evidence yet","Scored")))</f>
        <v/>
      </c>
      <c r="AF139" s="3">
        <f>IF(AD139="","",IF(AD139&gt;=85,"Excellent",IF(AD139&gt;=70,"Good",IF(AD139&gt;=55,"Fair","Poor"))))</f>
        <v/>
      </c>
      <c r="AG139" s="3">
        <f>IF(AD139="","",IF(OR(G139="Y",I139&gt;=5),"High",IF(I139&gt;=3,"Medium","Low")))</f>
        <v/>
      </c>
    </row>
    <row r="140">
      <c r="Y140" s="3">
        <f>IF(I140&gt;=3,10,IF(I140=2,5,0))+IF(J140="Y",10,IF(J140="Partial",5,0))+IF(K140="Y",10,0)</f>
        <v/>
      </c>
      <c r="Z140" s="3">
        <f>IF(M140="Y",IF(L140="Y",8,0)+IF(N140="Y",8,0)+IF(O140="Y",4,0),ROUND((IF(L140="Y",8,0)+IF(O140="Y",4,0))*20/12,1))</f>
        <v/>
      </c>
      <c r="AA140" s="3">
        <f>IF(P140="Y",8,IF(P140="Partial",4,0))+IF(Q140="Y",6,IF(Q140="Partial",3,0))+IF(R140="Y",6,0)</f>
        <v/>
      </c>
      <c r="AB140" s="3">
        <f>IF(S140="Y",5,0)+IF(T140="Y",5,0)+IF(U140&gt;=3,5,IF(U140&gt;=1,2,0))</f>
        <v/>
      </c>
      <c r="AC140" s="3">
        <f>IF(V140&gt;=2,8,IF(V140&gt;=1,5,0))+IF(W140="Y",4,0)+IF(X140="Y",3,0)</f>
        <v/>
      </c>
      <c r="AD140" s="3">
        <f>IF(A140="","",IF(OR(H140="Y",I140&lt;2),"",ROUND(Y140+Z140+AA140+AB140+AC140,0)))</f>
        <v/>
      </c>
      <c r="AE140" s="3">
        <f>IF(A140="","",IF(H140="Y","Not recommended: active recall",IF(I140&lt;2,"Not enough evidence yet","Scored")))</f>
        <v/>
      </c>
      <c r="AF140" s="3">
        <f>IF(AD140="","",IF(AD140&gt;=85,"Excellent",IF(AD140&gt;=70,"Good",IF(AD140&gt;=55,"Fair","Poor"))))</f>
        <v/>
      </c>
      <c r="AG140" s="3">
        <f>IF(AD140="","",IF(OR(G140="Y",I140&gt;=5),"High",IF(I140&gt;=3,"Medium","Low")))</f>
        <v/>
      </c>
    </row>
    <row r="141">
      <c r="Y141" s="3">
        <f>IF(I141&gt;=3,10,IF(I141=2,5,0))+IF(J141="Y",10,IF(J141="Partial",5,0))+IF(K141="Y",10,0)</f>
        <v/>
      </c>
      <c r="Z141" s="3">
        <f>IF(M141="Y",IF(L141="Y",8,0)+IF(N141="Y",8,0)+IF(O141="Y",4,0),ROUND((IF(L141="Y",8,0)+IF(O141="Y",4,0))*20/12,1))</f>
        <v/>
      </c>
      <c r="AA141" s="3">
        <f>IF(P141="Y",8,IF(P141="Partial",4,0))+IF(Q141="Y",6,IF(Q141="Partial",3,0))+IF(R141="Y",6,0)</f>
        <v/>
      </c>
      <c r="AB141" s="3">
        <f>IF(S141="Y",5,0)+IF(T141="Y",5,0)+IF(U141&gt;=3,5,IF(U141&gt;=1,2,0))</f>
        <v/>
      </c>
      <c r="AC141" s="3">
        <f>IF(V141&gt;=2,8,IF(V141&gt;=1,5,0))+IF(W141="Y",4,0)+IF(X141="Y",3,0)</f>
        <v/>
      </c>
      <c r="AD141" s="3">
        <f>IF(A141="","",IF(OR(H141="Y",I141&lt;2),"",ROUND(Y141+Z141+AA141+AB141+AC141,0)))</f>
        <v/>
      </c>
      <c r="AE141" s="3">
        <f>IF(A141="","",IF(H141="Y","Not recommended: active recall",IF(I141&lt;2,"Not enough evidence yet","Scored")))</f>
        <v/>
      </c>
      <c r="AF141" s="3">
        <f>IF(AD141="","",IF(AD141&gt;=85,"Excellent",IF(AD141&gt;=70,"Good",IF(AD141&gt;=55,"Fair","Poor"))))</f>
        <v/>
      </c>
      <c r="AG141" s="3">
        <f>IF(AD141="","",IF(OR(G141="Y",I141&gt;=5),"High",IF(I141&gt;=3,"Medium","Low")))</f>
        <v/>
      </c>
    </row>
    <row r="142">
      <c r="Y142" s="3">
        <f>IF(I142&gt;=3,10,IF(I142=2,5,0))+IF(J142="Y",10,IF(J142="Partial",5,0))+IF(K142="Y",10,0)</f>
        <v/>
      </c>
      <c r="Z142" s="3">
        <f>IF(M142="Y",IF(L142="Y",8,0)+IF(N142="Y",8,0)+IF(O142="Y",4,0),ROUND((IF(L142="Y",8,0)+IF(O142="Y",4,0))*20/12,1))</f>
        <v/>
      </c>
      <c r="AA142" s="3">
        <f>IF(P142="Y",8,IF(P142="Partial",4,0))+IF(Q142="Y",6,IF(Q142="Partial",3,0))+IF(R142="Y",6,0)</f>
        <v/>
      </c>
      <c r="AB142" s="3">
        <f>IF(S142="Y",5,0)+IF(T142="Y",5,0)+IF(U142&gt;=3,5,IF(U142&gt;=1,2,0))</f>
        <v/>
      </c>
      <c r="AC142" s="3">
        <f>IF(V142&gt;=2,8,IF(V142&gt;=1,5,0))+IF(W142="Y",4,0)+IF(X142="Y",3,0)</f>
        <v/>
      </c>
      <c r="AD142" s="3">
        <f>IF(A142="","",IF(OR(H142="Y",I142&lt;2),"",ROUND(Y142+Z142+AA142+AB142+AC142,0)))</f>
        <v/>
      </c>
      <c r="AE142" s="3">
        <f>IF(A142="","",IF(H142="Y","Not recommended: active recall",IF(I142&lt;2,"Not enough evidence yet","Scored")))</f>
        <v/>
      </c>
      <c r="AF142" s="3">
        <f>IF(AD142="","",IF(AD142&gt;=85,"Excellent",IF(AD142&gt;=70,"Good",IF(AD142&gt;=55,"Fair","Poor"))))</f>
        <v/>
      </c>
      <c r="AG142" s="3">
        <f>IF(AD142="","",IF(OR(G142="Y",I142&gt;=5),"High",IF(I142&gt;=3,"Medium","Low")))</f>
        <v/>
      </c>
    </row>
    <row r="143">
      <c r="Y143" s="3">
        <f>IF(I143&gt;=3,10,IF(I143=2,5,0))+IF(J143="Y",10,IF(J143="Partial",5,0))+IF(K143="Y",10,0)</f>
        <v/>
      </c>
      <c r="Z143" s="3">
        <f>IF(M143="Y",IF(L143="Y",8,0)+IF(N143="Y",8,0)+IF(O143="Y",4,0),ROUND((IF(L143="Y",8,0)+IF(O143="Y",4,0))*20/12,1))</f>
        <v/>
      </c>
      <c r="AA143" s="3">
        <f>IF(P143="Y",8,IF(P143="Partial",4,0))+IF(Q143="Y",6,IF(Q143="Partial",3,0))+IF(R143="Y",6,0)</f>
        <v/>
      </c>
      <c r="AB143" s="3">
        <f>IF(S143="Y",5,0)+IF(T143="Y",5,0)+IF(U143&gt;=3,5,IF(U143&gt;=1,2,0))</f>
        <v/>
      </c>
      <c r="AC143" s="3">
        <f>IF(V143&gt;=2,8,IF(V143&gt;=1,5,0))+IF(W143="Y",4,0)+IF(X143="Y",3,0)</f>
        <v/>
      </c>
      <c r="AD143" s="3">
        <f>IF(A143="","",IF(OR(H143="Y",I143&lt;2),"",ROUND(Y143+Z143+AA143+AB143+AC143,0)))</f>
        <v/>
      </c>
      <c r="AE143" s="3">
        <f>IF(A143="","",IF(H143="Y","Not recommended: active recall",IF(I143&lt;2,"Not enough evidence yet","Scored")))</f>
        <v/>
      </c>
      <c r="AF143" s="3">
        <f>IF(AD143="","",IF(AD143&gt;=85,"Excellent",IF(AD143&gt;=70,"Good",IF(AD143&gt;=55,"Fair","Poor"))))</f>
        <v/>
      </c>
      <c r="AG143" s="3">
        <f>IF(AD143="","",IF(OR(G143="Y",I143&gt;=5),"High",IF(I143&gt;=3,"Medium","Low")))</f>
        <v/>
      </c>
    </row>
    <row r="144">
      <c r="Y144" s="3">
        <f>IF(I144&gt;=3,10,IF(I144=2,5,0))+IF(J144="Y",10,IF(J144="Partial",5,0))+IF(K144="Y",10,0)</f>
        <v/>
      </c>
      <c r="Z144" s="3">
        <f>IF(M144="Y",IF(L144="Y",8,0)+IF(N144="Y",8,0)+IF(O144="Y",4,0),ROUND((IF(L144="Y",8,0)+IF(O144="Y",4,0))*20/12,1))</f>
        <v/>
      </c>
      <c r="AA144" s="3">
        <f>IF(P144="Y",8,IF(P144="Partial",4,0))+IF(Q144="Y",6,IF(Q144="Partial",3,0))+IF(R144="Y",6,0)</f>
        <v/>
      </c>
      <c r="AB144" s="3">
        <f>IF(S144="Y",5,0)+IF(T144="Y",5,0)+IF(U144&gt;=3,5,IF(U144&gt;=1,2,0))</f>
        <v/>
      </c>
      <c r="AC144" s="3">
        <f>IF(V144&gt;=2,8,IF(V144&gt;=1,5,0))+IF(W144="Y",4,0)+IF(X144="Y",3,0)</f>
        <v/>
      </c>
      <c r="AD144" s="3">
        <f>IF(A144="","",IF(OR(H144="Y",I144&lt;2),"",ROUND(Y144+Z144+AA144+AB144+AC144,0)))</f>
        <v/>
      </c>
      <c r="AE144" s="3">
        <f>IF(A144="","",IF(H144="Y","Not recommended: active recall",IF(I144&lt;2,"Not enough evidence yet","Scored")))</f>
        <v/>
      </c>
      <c r="AF144" s="3">
        <f>IF(AD144="","",IF(AD144&gt;=85,"Excellent",IF(AD144&gt;=70,"Good",IF(AD144&gt;=55,"Fair","Poor"))))</f>
        <v/>
      </c>
      <c r="AG144" s="3">
        <f>IF(AD144="","",IF(OR(G144="Y",I144&gt;=5),"High",IF(I144&gt;=3,"Medium","Low")))</f>
        <v/>
      </c>
    </row>
    <row r="145">
      <c r="Y145" s="3">
        <f>IF(I145&gt;=3,10,IF(I145=2,5,0))+IF(J145="Y",10,IF(J145="Partial",5,0))+IF(K145="Y",10,0)</f>
        <v/>
      </c>
      <c r="Z145" s="3">
        <f>IF(M145="Y",IF(L145="Y",8,0)+IF(N145="Y",8,0)+IF(O145="Y",4,0),ROUND((IF(L145="Y",8,0)+IF(O145="Y",4,0))*20/12,1))</f>
        <v/>
      </c>
      <c r="AA145" s="3">
        <f>IF(P145="Y",8,IF(P145="Partial",4,0))+IF(Q145="Y",6,IF(Q145="Partial",3,0))+IF(R145="Y",6,0)</f>
        <v/>
      </c>
      <c r="AB145" s="3">
        <f>IF(S145="Y",5,0)+IF(T145="Y",5,0)+IF(U145&gt;=3,5,IF(U145&gt;=1,2,0))</f>
        <v/>
      </c>
      <c r="AC145" s="3">
        <f>IF(V145&gt;=2,8,IF(V145&gt;=1,5,0))+IF(W145="Y",4,0)+IF(X145="Y",3,0)</f>
        <v/>
      </c>
      <c r="AD145" s="3">
        <f>IF(A145="","",IF(OR(H145="Y",I145&lt;2),"",ROUND(Y145+Z145+AA145+AB145+AC145,0)))</f>
        <v/>
      </c>
      <c r="AE145" s="3">
        <f>IF(A145="","",IF(H145="Y","Not recommended: active recall",IF(I145&lt;2,"Not enough evidence yet","Scored")))</f>
        <v/>
      </c>
      <c r="AF145" s="3">
        <f>IF(AD145="","",IF(AD145&gt;=85,"Excellent",IF(AD145&gt;=70,"Good",IF(AD145&gt;=55,"Fair","Poor"))))</f>
        <v/>
      </c>
      <c r="AG145" s="3">
        <f>IF(AD145="","",IF(OR(G145="Y",I145&gt;=5),"High",IF(I145&gt;=3,"Medium","Low")))</f>
        <v/>
      </c>
    </row>
    <row r="146">
      <c r="Y146" s="3">
        <f>IF(I146&gt;=3,10,IF(I146=2,5,0))+IF(J146="Y",10,IF(J146="Partial",5,0))+IF(K146="Y",10,0)</f>
        <v/>
      </c>
      <c r="Z146" s="3">
        <f>IF(M146="Y",IF(L146="Y",8,0)+IF(N146="Y",8,0)+IF(O146="Y",4,0),ROUND((IF(L146="Y",8,0)+IF(O146="Y",4,0))*20/12,1))</f>
        <v/>
      </c>
      <c r="AA146" s="3">
        <f>IF(P146="Y",8,IF(P146="Partial",4,0))+IF(Q146="Y",6,IF(Q146="Partial",3,0))+IF(R146="Y",6,0)</f>
        <v/>
      </c>
      <c r="AB146" s="3">
        <f>IF(S146="Y",5,0)+IF(T146="Y",5,0)+IF(U146&gt;=3,5,IF(U146&gt;=1,2,0))</f>
        <v/>
      </c>
      <c r="AC146" s="3">
        <f>IF(V146&gt;=2,8,IF(V146&gt;=1,5,0))+IF(W146="Y",4,0)+IF(X146="Y",3,0)</f>
        <v/>
      </c>
      <c r="AD146" s="3">
        <f>IF(A146="","",IF(OR(H146="Y",I146&lt;2),"",ROUND(Y146+Z146+AA146+AB146+AC146,0)))</f>
        <v/>
      </c>
      <c r="AE146" s="3">
        <f>IF(A146="","",IF(H146="Y","Not recommended: active recall",IF(I146&lt;2,"Not enough evidence yet","Scored")))</f>
        <v/>
      </c>
      <c r="AF146" s="3">
        <f>IF(AD146="","",IF(AD146&gt;=85,"Excellent",IF(AD146&gt;=70,"Good",IF(AD146&gt;=55,"Fair","Poor"))))</f>
        <v/>
      </c>
      <c r="AG146" s="3">
        <f>IF(AD146="","",IF(OR(G146="Y",I146&gt;=5),"High",IF(I146&gt;=3,"Medium","Low")))</f>
        <v/>
      </c>
    </row>
    <row r="147">
      <c r="Y147" s="3">
        <f>IF(I147&gt;=3,10,IF(I147=2,5,0))+IF(J147="Y",10,IF(J147="Partial",5,0))+IF(K147="Y",10,0)</f>
        <v/>
      </c>
      <c r="Z147" s="3">
        <f>IF(M147="Y",IF(L147="Y",8,0)+IF(N147="Y",8,0)+IF(O147="Y",4,0),ROUND((IF(L147="Y",8,0)+IF(O147="Y",4,0))*20/12,1))</f>
        <v/>
      </c>
      <c r="AA147" s="3">
        <f>IF(P147="Y",8,IF(P147="Partial",4,0))+IF(Q147="Y",6,IF(Q147="Partial",3,0))+IF(R147="Y",6,0)</f>
        <v/>
      </c>
      <c r="AB147" s="3">
        <f>IF(S147="Y",5,0)+IF(T147="Y",5,0)+IF(U147&gt;=3,5,IF(U147&gt;=1,2,0))</f>
        <v/>
      </c>
      <c r="AC147" s="3">
        <f>IF(V147&gt;=2,8,IF(V147&gt;=1,5,0))+IF(W147="Y",4,0)+IF(X147="Y",3,0)</f>
        <v/>
      </c>
      <c r="AD147" s="3">
        <f>IF(A147="","",IF(OR(H147="Y",I147&lt;2),"",ROUND(Y147+Z147+AA147+AB147+AC147,0)))</f>
        <v/>
      </c>
      <c r="AE147" s="3">
        <f>IF(A147="","",IF(H147="Y","Not recommended: active recall",IF(I147&lt;2,"Not enough evidence yet","Scored")))</f>
        <v/>
      </c>
      <c r="AF147" s="3">
        <f>IF(AD147="","",IF(AD147&gt;=85,"Excellent",IF(AD147&gt;=70,"Good",IF(AD147&gt;=55,"Fair","Poor"))))</f>
        <v/>
      </c>
      <c r="AG147" s="3">
        <f>IF(AD147="","",IF(OR(G147="Y",I147&gt;=5),"High",IF(I147&gt;=3,"Medium","Low")))</f>
        <v/>
      </c>
    </row>
    <row r="148">
      <c r="Y148" s="3">
        <f>IF(I148&gt;=3,10,IF(I148=2,5,0))+IF(J148="Y",10,IF(J148="Partial",5,0))+IF(K148="Y",10,0)</f>
        <v/>
      </c>
      <c r="Z148" s="3">
        <f>IF(M148="Y",IF(L148="Y",8,0)+IF(N148="Y",8,0)+IF(O148="Y",4,0),ROUND((IF(L148="Y",8,0)+IF(O148="Y",4,0))*20/12,1))</f>
        <v/>
      </c>
      <c r="AA148" s="3">
        <f>IF(P148="Y",8,IF(P148="Partial",4,0))+IF(Q148="Y",6,IF(Q148="Partial",3,0))+IF(R148="Y",6,0)</f>
        <v/>
      </c>
      <c r="AB148" s="3">
        <f>IF(S148="Y",5,0)+IF(T148="Y",5,0)+IF(U148&gt;=3,5,IF(U148&gt;=1,2,0))</f>
        <v/>
      </c>
      <c r="AC148" s="3">
        <f>IF(V148&gt;=2,8,IF(V148&gt;=1,5,0))+IF(W148="Y",4,0)+IF(X148="Y",3,0)</f>
        <v/>
      </c>
      <c r="AD148" s="3">
        <f>IF(A148="","",IF(OR(H148="Y",I148&lt;2),"",ROUND(Y148+Z148+AA148+AB148+AC148,0)))</f>
        <v/>
      </c>
      <c r="AE148" s="3">
        <f>IF(A148="","",IF(H148="Y","Not recommended: active recall",IF(I148&lt;2,"Not enough evidence yet","Scored")))</f>
        <v/>
      </c>
      <c r="AF148" s="3">
        <f>IF(AD148="","",IF(AD148&gt;=85,"Excellent",IF(AD148&gt;=70,"Good",IF(AD148&gt;=55,"Fair","Poor"))))</f>
        <v/>
      </c>
      <c r="AG148" s="3">
        <f>IF(AD148="","",IF(OR(G148="Y",I148&gt;=5),"High",IF(I148&gt;=3,"Medium","Low")))</f>
        <v/>
      </c>
    </row>
    <row r="149">
      <c r="Y149" s="3">
        <f>IF(I149&gt;=3,10,IF(I149=2,5,0))+IF(J149="Y",10,IF(J149="Partial",5,0))+IF(K149="Y",10,0)</f>
        <v/>
      </c>
      <c r="Z149" s="3">
        <f>IF(M149="Y",IF(L149="Y",8,0)+IF(N149="Y",8,0)+IF(O149="Y",4,0),ROUND((IF(L149="Y",8,0)+IF(O149="Y",4,0))*20/12,1))</f>
        <v/>
      </c>
      <c r="AA149" s="3">
        <f>IF(P149="Y",8,IF(P149="Partial",4,0))+IF(Q149="Y",6,IF(Q149="Partial",3,0))+IF(R149="Y",6,0)</f>
        <v/>
      </c>
      <c r="AB149" s="3">
        <f>IF(S149="Y",5,0)+IF(T149="Y",5,0)+IF(U149&gt;=3,5,IF(U149&gt;=1,2,0))</f>
        <v/>
      </c>
      <c r="AC149" s="3">
        <f>IF(V149&gt;=2,8,IF(V149&gt;=1,5,0))+IF(W149="Y",4,0)+IF(X149="Y",3,0)</f>
        <v/>
      </c>
      <c r="AD149" s="3">
        <f>IF(A149="","",IF(OR(H149="Y",I149&lt;2),"",ROUND(Y149+Z149+AA149+AB149+AC149,0)))</f>
        <v/>
      </c>
      <c r="AE149" s="3">
        <f>IF(A149="","",IF(H149="Y","Not recommended: active recall",IF(I149&lt;2,"Not enough evidence yet","Scored")))</f>
        <v/>
      </c>
      <c r="AF149" s="3">
        <f>IF(AD149="","",IF(AD149&gt;=85,"Excellent",IF(AD149&gt;=70,"Good",IF(AD149&gt;=55,"Fair","Poor"))))</f>
        <v/>
      </c>
      <c r="AG149" s="3">
        <f>IF(AD149="","",IF(OR(G149="Y",I149&gt;=5),"High",IF(I149&gt;=3,"Medium","Low")))</f>
        <v/>
      </c>
    </row>
    <row r="150">
      <c r="Y150" s="3">
        <f>IF(I150&gt;=3,10,IF(I150=2,5,0))+IF(J150="Y",10,IF(J150="Partial",5,0))+IF(K150="Y",10,0)</f>
        <v/>
      </c>
      <c r="Z150" s="3">
        <f>IF(M150="Y",IF(L150="Y",8,0)+IF(N150="Y",8,0)+IF(O150="Y",4,0),ROUND((IF(L150="Y",8,0)+IF(O150="Y",4,0))*20/12,1))</f>
        <v/>
      </c>
      <c r="AA150" s="3">
        <f>IF(P150="Y",8,IF(P150="Partial",4,0))+IF(Q150="Y",6,IF(Q150="Partial",3,0))+IF(R150="Y",6,0)</f>
        <v/>
      </c>
      <c r="AB150" s="3">
        <f>IF(S150="Y",5,0)+IF(T150="Y",5,0)+IF(U150&gt;=3,5,IF(U150&gt;=1,2,0))</f>
        <v/>
      </c>
      <c r="AC150" s="3">
        <f>IF(V150&gt;=2,8,IF(V150&gt;=1,5,0))+IF(W150="Y",4,0)+IF(X150="Y",3,0)</f>
        <v/>
      </c>
      <c r="AD150" s="3">
        <f>IF(A150="","",IF(OR(H150="Y",I150&lt;2),"",ROUND(Y150+Z150+AA150+AB150+AC150,0)))</f>
        <v/>
      </c>
      <c r="AE150" s="3">
        <f>IF(A150="","",IF(H150="Y","Not recommended: active recall",IF(I150&lt;2,"Not enough evidence yet","Scored")))</f>
        <v/>
      </c>
      <c r="AF150" s="3">
        <f>IF(AD150="","",IF(AD150&gt;=85,"Excellent",IF(AD150&gt;=70,"Good",IF(AD150&gt;=55,"Fair","Poor"))))</f>
        <v/>
      </c>
      <c r="AG150" s="3">
        <f>IF(AD150="","",IF(OR(G150="Y",I150&gt;=5),"High",IF(I150&gt;=3,"Medium","Low")))</f>
        <v/>
      </c>
    </row>
    <row r="151">
      <c r="Y151" s="3">
        <f>IF(I151&gt;=3,10,IF(I151=2,5,0))+IF(J151="Y",10,IF(J151="Partial",5,0))+IF(K151="Y",10,0)</f>
        <v/>
      </c>
      <c r="Z151" s="3">
        <f>IF(M151="Y",IF(L151="Y",8,0)+IF(N151="Y",8,0)+IF(O151="Y",4,0),ROUND((IF(L151="Y",8,0)+IF(O151="Y",4,0))*20/12,1))</f>
        <v/>
      </c>
      <c r="AA151" s="3">
        <f>IF(P151="Y",8,IF(P151="Partial",4,0))+IF(Q151="Y",6,IF(Q151="Partial",3,0))+IF(R151="Y",6,0)</f>
        <v/>
      </c>
      <c r="AB151" s="3">
        <f>IF(S151="Y",5,0)+IF(T151="Y",5,0)+IF(U151&gt;=3,5,IF(U151&gt;=1,2,0))</f>
        <v/>
      </c>
      <c r="AC151" s="3">
        <f>IF(V151&gt;=2,8,IF(V151&gt;=1,5,0))+IF(W151="Y",4,0)+IF(X151="Y",3,0)</f>
        <v/>
      </c>
      <c r="AD151" s="3">
        <f>IF(A151="","",IF(OR(H151="Y",I151&lt;2),"",ROUND(Y151+Z151+AA151+AB151+AC151,0)))</f>
        <v/>
      </c>
      <c r="AE151" s="3">
        <f>IF(A151="","",IF(H151="Y","Not recommended: active recall",IF(I151&lt;2,"Not enough evidence yet","Scored")))</f>
        <v/>
      </c>
      <c r="AF151" s="3">
        <f>IF(AD151="","",IF(AD151&gt;=85,"Excellent",IF(AD151&gt;=70,"Good",IF(AD151&gt;=55,"Fair","Poor"))))</f>
        <v/>
      </c>
      <c r="AG151" s="3">
        <f>IF(AD151="","",IF(OR(G151="Y",I151&gt;=5),"High",IF(I151&gt;=3,"Medium","Low")))</f>
        <v/>
      </c>
    </row>
    <row r="152">
      <c r="Y152" s="3">
        <f>IF(I152&gt;=3,10,IF(I152=2,5,0))+IF(J152="Y",10,IF(J152="Partial",5,0))+IF(K152="Y",10,0)</f>
        <v/>
      </c>
      <c r="Z152" s="3">
        <f>IF(M152="Y",IF(L152="Y",8,0)+IF(N152="Y",8,0)+IF(O152="Y",4,0),ROUND((IF(L152="Y",8,0)+IF(O152="Y",4,0))*20/12,1))</f>
        <v/>
      </c>
      <c r="AA152" s="3">
        <f>IF(P152="Y",8,IF(P152="Partial",4,0))+IF(Q152="Y",6,IF(Q152="Partial",3,0))+IF(R152="Y",6,0)</f>
        <v/>
      </c>
      <c r="AB152" s="3">
        <f>IF(S152="Y",5,0)+IF(T152="Y",5,0)+IF(U152&gt;=3,5,IF(U152&gt;=1,2,0))</f>
        <v/>
      </c>
      <c r="AC152" s="3">
        <f>IF(V152&gt;=2,8,IF(V152&gt;=1,5,0))+IF(W152="Y",4,0)+IF(X152="Y",3,0)</f>
        <v/>
      </c>
      <c r="AD152" s="3">
        <f>IF(A152="","",IF(OR(H152="Y",I152&lt;2),"",ROUND(Y152+Z152+AA152+AB152+AC152,0)))</f>
        <v/>
      </c>
      <c r="AE152" s="3">
        <f>IF(A152="","",IF(H152="Y","Not recommended: active recall",IF(I152&lt;2,"Not enough evidence yet","Scored")))</f>
        <v/>
      </c>
      <c r="AF152" s="3">
        <f>IF(AD152="","",IF(AD152&gt;=85,"Excellent",IF(AD152&gt;=70,"Good",IF(AD152&gt;=55,"Fair","Poor"))))</f>
        <v/>
      </c>
      <c r="AG152" s="3">
        <f>IF(AD152="","",IF(OR(G152="Y",I152&gt;=5),"High",IF(I152&gt;=3,"Medium","Low")))</f>
        <v/>
      </c>
    </row>
    <row r="153">
      <c r="Y153" s="3">
        <f>IF(I153&gt;=3,10,IF(I153=2,5,0))+IF(J153="Y",10,IF(J153="Partial",5,0))+IF(K153="Y",10,0)</f>
        <v/>
      </c>
      <c r="Z153" s="3">
        <f>IF(M153="Y",IF(L153="Y",8,0)+IF(N153="Y",8,0)+IF(O153="Y",4,0),ROUND((IF(L153="Y",8,0)+IF(O153="Y",4,0))*20/12,1))</f>
        <v/>
      </c>
      <c r="AA153" s="3">
        <f>IF(P153="Y",8,IF(P153="Partial",4,0))+IF(Q153="Y",6,IF(Q153="Partial",3,0))+IF(R153="Y",6,0)</f>
        <v/>
      </c>
      <c r="AB153" s="3">
        <f>IF(S153="Y",5,0)+IF(T153="Y",5,0)+IF(U153&gt;=3,5,IF(U153&gt;=1,2,0))</f>
        <v/>
      </c>
      <c r="AC153" s="3">
        <f>IF(V153&gt;=2,8,IF(V153&gt;=1,5,0))+IF(W153="Y",4,0)+IF(X153="Y",3,0)</f>
        <v/>
      </c>
      <c r="AD153" s="3">
        <f>IF(A153="","",IF(OR(H153="Y",I153&lt;2),"",ROUND(Y153+Z153+AA153+AB153+AC153,0)))</f>
        <v/>
      </c>
      <c r="AE153" s="3">
        <f>IF(A153="","",IF(H153="Y","Not recommended: active recall",IF(I153&lt;2,"Not enough evidence yet","Scored")))</f>
        <v/>
      </c>
      <c r="AF153" s="3">
        <f>IF(AD153="","",IF(AD153&gt;=85,"Excellent",IF(AD153&gt;=70,"Good",IF(AD153&gt;=55,"Fair","Poor"))))</f>
        <v/>
      </c>
      <c r="AG153" s="3">
        <f>IF(AD153="","",IF(OR(G153="Y",I153&gt;=5),"High",IF(I153&gt;=3,"Medium","Low")))</f>
        <v/>
      </c>
    </row>
    <row r="154">
      <c r="Y154" s="3">
        <f>IF(I154&gt;=3,10,IF(I154=2,5,0))+IF(J154="Y",10,IF(J154="Partial",5,0))+IF(K154="Y",10,0)</f>
        <v/>
      </c>
      <c r="Z154" s="3">
        <f>IF(M154="Y",IF(L154="Y",8,0)+IF(N154="Y",8,0)+IF(O154="Y",4,0),ROUND((IF(L154="Y",8,0)+IF(O154="Y",4,0))*20/12,1))</f>
        <v/>
      </c>
      <c r="AA154" s="3">
        <f>IF(P154="Y",8,IF(P154="Partial",4,0))+IF(Q154="Y",6,IF(Q154="Partial",3,0))+IF(R154="Y",6,0)</f>
        <v/>
      </c>
      <c r="AB154" s="3">
        <f>IF(S154="Y",5,0)+IF(T154="Y",5,0)+IF(U154&gt;=3,5,IF(U154&gt;=1,2,0))</f>
        <v/>
      </c>
      <c r="AC154" s="3">
        <f>IF(V154&gt;=2,8,IF(V154&gt;=1,5,0))+IF(W154="Y",4,0)+IF(X154="Y",3,0)</f>
        <v/>
      </c>
      <c r="AD154" s="3">
        <f>IF(A154="","",IF(OR(H154="Y",I154&lt;2),"",ROUND(Y154+Z154+AA154+AB154+AC154,0)))</f>
        <v/>
      </c>
      <c r="AE154" s="3">
        <f>IF(A154="","",IF(H154="Y","Not recommended: active recall",IF(I154&lt;2,"Not enough evidence yet","Scored")))</f>
        <v/>
      </c>
      <c r="AF154" s="3">
        <f>IF(AD154="","",IF(AD154&gt;=85,"Excellent",IF(AD154&gt;=70,"Good",IF(AD154&gt;=55,"Fair","Poor"))))</f>
        <v/>
      </c>
      <c r="AG154" s="3">
        <f>IF(AD154="","",IF(OR(G154="Y",I154&gt;=5),"High",IF(I154&gt;=3,"Medium","Low")))</f>
        <v/>
      </c>
    </row>
    <row r="155">
      <c r="Y155" s="3">
        <f>IF(I155&gt;=3,10,IF(I155=2,5,0))+IF(J155="Y",10,IF(J155="Partial",5,0))+IF(K155="Y",10,0)</f>
        <v/>
      </c>
      <c r="Z155" s="3">
        <f>IF(M155="Y",IF(L155="Y",8,0)+IF(N155="Y",8,0)+IF(O155="Y",4,0),ROUND((IF(L155="Y",8,0)+IF(O155="Y",4,0))*20/12,1))</f>
        <v/>
      </c>
      <c r="AA155" s="3">
        <f>IF(P155="Y",8,IF(P155="Partial",4,0))+IF(Q155="Y",6,IF(Q155="Partial",3,0))+IF(R155="Y",6,0)</f>
        <v/>
      </c>
      <c r="AB155" s="3">
        <f>IF(S155="Y",5,0)+IF(T155="Y",5,0)+IF(U155&gt;=3,5,IF(U155&gt;=1,2,0))</f>
        <v/>
      </c>
      <c r="AC155" s="3">
        <f>IF(V155&gt;=2,8,IF(V155&gt;=1,5,0))+IF(W155="Y",4,0)+IF(X155="Y",3,0)</f>
        <v/>
      </c>
      <c r="AD155" s="3">
        <f>IF(A155="","",IF(OR(H155="Y",I155&lt;2),"",ROUND(Y155+Z155+AA155+AB155+AC155,0)))</f>
        <v/>
      </c>
      <c r="AE155" s="3">
        <f>IF(A155="","",IF(H155="Y","Not recommended: active recall",IF(I155&lt;2,"Not enough evidence yet","Scored")))</f>
        <v/>
      </c>
      <c r="AF155" s="3">
        <f>IF(AD155="","",IF(AD155&gt;=85,"Excellent",IF(AD155&gt;=70,"Good",IF(AD155&gt;=55,"Fair","Poor"))))</f>
        <v/>
      </c>
      <c r="AG155" s="3">
        <f>IF(AD155="","",IF(OR(G155="Y",I155&gt;=5),"High",IF(I155&gt;=3,"Medium","Low")))</f>
        <v/>
      </c>
    </row>
    <row r="156">
      <c r="Y156" s="3">
        <f>IF(I156&gt;=3,10,IF(I156=2,5,0))+IF(J156="Y",10,IF(J156="Partial",5,0))+IF(K156="Y",10,0)</f>
        <v/>
      </c>
      <c r="Z156" s="3">
        <f>IF(M156="Y",IF(L156="Y",8,0)+IF(N156="Y",8,0)+IF(O156="Y",4,0),ROUND((IF(L156="Y",8,0)+IF(O156="Y",4,0))*20/12,1))</f>
        <v/>
      </c>
      <c r="AA156" s="3">
        <f>IF(P156="Y",8,IF(P156="Partial",4,0))+IF(Q156="Y",6,IF(Q156="Partial",3,0))+IF(R156="Y",6,0)</f>
        <v/>
      </c>
      <c r="AB156" s="3">
        <f>IF(S156="Y",5,0)+IF(T156="Y",5,0)+IF(U156&gt;=3,5,IF(U156&gt;=1,2,0))</f>
        <v/>
      </c>
      <c r="AC156" s="3">
        <f>IF(V156&gt;=2,8,IF(V156&gt;=1,5,0))+IF(W156="Y",4,0)+IF(X156="Y",3,0)</f>
        <v/>
      </c>
      <c r="AD156" s="3">
        <f>IF(A156="","",IF(OR(H156="Y",I156&lt;2),"",ROUND(Y156+Z156+AA156+AB156+AC156,0)))</f>
        <v/>
      </c>
      <c r="AE156" s="3">
        <f>IF(A156="","",IF(H156="Y","Not recommended: active recall",IF(I156&lt;2,"Not enough evidence yet","Scored")))</f>
        <v/>
      </c>
      <c r="AF156" s="3">
        <f>IF(AD156="","",IF(AD156&gt;=85,"Excellent",IF(AD156&gt;=70,"Good",IF(AD156&gt;=55,"Fair","Poor"))))</f>
        <v/>
      </c>
      <c r="AG156" s="3">
        <f>IF(AD156="","",IF(OR(G156="Y",I156&gt;=5),"High",IF(I156&gt;=3,"Medium","Low")))</f>
        <v/>
      </c>
    </row>
    <row r="157">
      <c r="Y157" s="3">
        <f>IF(I157&gt;=3,10,IF(I157=2,5,0))+IF(J157="Y",10,IF(J157="Partial",5,0))+IF(K157="Y",10,0)</f>
        <v/>
      </c>
      <c r="Z157" s="3">
        <f>IF(M157="Y",IF(L157="Y",8,0)+IF(N157="Y",8,0)+IF(O157="Y",4,0),ROUND((IF(L157="Y",8,0)+IF(O157="Y",4,0))*20/12,1))</f>
        <v/>
      </c>
      <c r="AA157" s="3">
        <f>IF(P157="Y",8,IF(P157="Partial",4,0))+IF(Q157="Y",6,IF(Q157="Partial",3,0))+IF(R157="Y",6,0)</f>
        <v/>
      </c>
      <c r="AB157" s="3">
        <f>IF(S157="Y",5,0)+IF(T157="Y",5,0)+IF(U157&gt;=3,5,IF(U157&gt;=1,2,0))</f>
        <v/>
      </c>
      <c r="AC157" s="3">
        <f>IF(V157&gt;=2,8,IF(V157&gt;=1,5,0))+IF(W157="Y",4,0)+IF(X157="Y",3,0)</f>
        <v/>
      </c>
      <c r="AD157" s="3">
        <f>IF(A157="","",IF(OR(H157="Y",I157&lt;2),"",ROUND(Y157+Z157+AA157+AB157+AC157,0)))</f>
        <v/>
      </c>
      <c r="AE157" s="3">
        <f>IF(A157="","",IF(H157="Y","Not recommended: active recall",IF(I157&lt;2,"Not enough evidence yet","Scored")))</f>
        <v/>
      </c>
      <c r="AF157" s="3">
        <f>IF(AD157="","",IF(AD157&gt;=85,"Excellent",IF(AD157&gt;=70,"Good",IF(AD157&gt;=55,"Fair","Poor"))))</f>
        <v/>
      </c>
      <c r="AG157" s="3">
        <f>IF(AD157="","",IF(OR(G157="Y",I157&gt;=5),"High",IF(I157&gt;=3,"Medium","Low")))</f>
        <v/>
      </c>
    </row>
    <row r="158">
      <c r="Y158" s="3">
        <f>IF(I158&gt;=3,10,IF(I158=2,5,0))+IF(J158="Y",10,IF(J158="Partial",5,0))+IF(K158="Y",10,0)</f>
        <v/>
      </c>
      <c r="Z158" s="3">
        <f>IF(M158="Y",IF(L158="Y",8,0)+IF(N158="Y",8,0)+IF(O158="Y",4,0),ROUND((IF(L158="Y",8,0)+IF(O158="Y",4,0))*20/12,1))</f>
        <v/>
      </c>
      <c r="AA158" s="3">
        <f>IF(P158="Y",8,IF(P158="Partial",4,0))+IF(Q158="Y",6,IF(Q158="Partial",3,0))+IF(R158="Y",6,0)</f>
        <v/>
      </c>
      <c r="AB158" s="3">
        <f>IF(S158="Y",5,0)+IF(T158="Y",5,0)+IF(U158&gt;=3,5,IF(U158&gt;=1,2,0))</f>
        <v/>
      </c>
      <c r="AC158" s="3">
        <f>IF(V158&gt;=2,8,IF(V158&gt;=1,5,0))+IF(W158="Y",4,0)+IF(X158="Y",3,0)</f>
        <v/>
      </c>
      <c r="AD158" s="3">
        <f>IF(A158="","",IF(OR(H158="Y",I158&lt;2),"",ROUND(Y158+Z158+AA158+AB158+AC158,0)))</f>
        <v/>
      </c>
      <c r="AE158" s="3">
        <f>IF(A158="","",IF(H158="Y","Not recommended: active recall",IF(I158&lt;2,"Not enough evidence yet","Scored")))</f>
        <v/>
      </c>
      <c r="AF158" s="3">
        <f>IF(AD158="","",IF(AD158&gt;=85,"Excellent",IF(AD158&gt;=70,"Good",IF(AD158&gt;=55,"Fair","Poor"))))</f>
        <v/>
      </c>
      <c r="AG158" s="3">
        <f>IF(AD158="","",IF(OR(G158="Y",I158&gt;=5),"High",IF(I158&gt;=3,"Medium","Low")))</f>
        <v/>
      </c>
    </row>
    <row r="159">
      <c r="Y159" s="3">
        <f>IF(I159&gt;=3,10,IF(I159=2,5,0))+IF(J159="Y",10,IF(J159="Partial",5,0))+IF(K159="Y",10,0)</f>
        <v/>
      </c>
      <c r="Z159" s="3">
        <f>IF(M159="Y",IF(L159="Y",8,0)+IF(N159="Y",8,0)+IF(O159="Y",4,0),ROUND((IF(L159="Y",8,0)+IF(O159="Y",4,0))*20/12,1))</f>
        <v/>
      </c>
      <c r="AA159" s="3">
        <f>IF(P159="Y",8,IF(P159="Partial",4,0))+IF(Q159="Y",6,IF(Q159="Partial",3,0))+IF(R159="Y",6,0)</f>
        <v/>
      </c>
      <c r="AB159" s="3">
        <f>IF(S159="Y",5,0)+IF(T159="Y",5,0)+IF(U159&gt;=3,5,IF(U159&gt;=1,2,0))</f>
        <v/>
      </c>
      <c r="AC159" s="3">
        <f>IF(V159&gt;=2,8,IF(V159&gt;=1,5,0))+IF(W159="Y",4,0)+IF(X159="Y",3,0)</f>
        <v/>
      </c>
      <c r="AD159" s="3">
        <f>IF(A159="","",IF(OR(H159="Y",I159&lt;2),"",ROUND(Y159+Z159+AA159+AB159+AC159,0)))</f>
        <v/>
      </c>
      <c r="AE159" s="3">
        <f>IF(A159="","",IF(H159="Y","Not recommended: active recall",IF(I159&lt;2,"Not enough evidence yet","Scored")))</f>
        <v/>
      </c>
      <c r="AF159" s="3">
        <f>IF(AD159="","",IF(AD159&gt;=85,"Excellent",IF(AD159&gt;=70,"Good",IF(AD159&gt;=55,"Fair","Poor"))))</f>
        <v/>
      </c>
      <c r="AG159" s="3">
        <f>IF(AD159="","",IF(OR(G159="Y",I159&gt;=5),"High",IF(I159&gt;=3,"Medium","Low")))</f>
        <v/>
      </c>
    </row>
    <row r="160">
      <c r="Y160" s="3">
        <f>IF(I160&gt;=3,10,IF(I160=2,5,0))+IF(J160="Y",10,IF(J160="Partial",5,0))+IF(K160="Y",10,0)</f>
        <v/>
      </c>
      <c r="Z160" s="3">
        <f>IF(M160="Y",IF(L160="Y",8,0)+IF(N160="Y",8,0)+IF(O160="Y",4,0),ROUND((IF(L160="Y",8,0)+IF(O160="Y",4,0))*20/12,1))</f>
        <v/>
      </c>
      <c r="AA160" s="3">
        <f>IF(P160="Y",8,IF(P160="Partial",4,0))+IF(Q160="Y",6,IF(Q160="Partial",3,0))+IF(R160="Y",6,0)</f>
        <v/>
      </c>
      <c r="AB160" s="3">
        <f>IF(S160="Y",5,0)+IF(T160="Y",5,0)+IF(U160&gt;=3,5,IF(U160&gt;=1,2,0))</f>
        <v/>
      </c>
      <c r="AC160" s="3">
        <f>IF(V160&gt;=2,8,IF(V160&gt;=1,5,0))+IF(W160="Y",4,0)+IF(X160="Y",3,0)</f>
        <v/>
      </c>
      <c r="AD160" s="3">
        <f>IF(A160="","",IF(OR(H160="Y",I160&lt;2),"",ROUND(Y160+Z160+AA160+AB160+AC160,0)))</f>
        <v/>
      </c>
      <c r="AE160" s="3">
        <f>IF(A160="","",IF(H160="Y","Not recommended: active recall",IF(I160&lt;2,"Not enough evidence yet","Scored")))</f>
        <v/>
      </c>
      <c r="AF160" s="3">
        <f>IF(AD160="","",IF(AD160&gt;=85,"Excellent",IF(AD160&gt;=70,"Good",IF(AD160&gt;=55,"Fair","Poor"))))</f>
        <v/>
      </c>
      <c r="AG160" s="3">
        <f>IF(AD160="","",IF(OR(G160="Y",I160&gt;=5),"High",IF(I160&gt;=3,"Medium","Low")))</f>
        <v/>
      </c>
    </row>
    <row r="161">
      <c r="Y161" s="3">
        <f>IF(I161&gt;=3,10,IF(I161=2,5,0))+IF(J161="Y",10,IF(J161="Partial",5,0))+IF(K161="Y",10,0)</f>
        <v/>
      </c>
      <c r="Z161" s="3">
        <f>IF(M161="Y",IF(L161="Y",8,0)+IF(N161="Y",8,0)+IF(O161="Y",4,0),ROUND((IF(L161="Y",8,0)+IF(O161="Y",4,0))*20/12,1))</f>
        <v/>
      </c>
      <c r="AA161" s="3">
        <f>IF(P161="Y",8,IF(P161="Partial",4,0))+IF(Q161="Y",6,IF(Q161="Partial",3,0))+IF(R161="Y",6,0)</f>
        <v/>
      </c>
      <c r="AB161" s="3">
        <f>IF(S161="Y",5,0)+IF(T161="Y",5,0)+IF(U161&gt;=3,5,IF(U161&gt;=1,2,0))</f>
        <v/>
      </c>
      <c r="AC161" s="3">
        <f>IF(V161&gt;=2,8,IF(V161&gt;=1,5,0))+IF(W161="Y",4,0)+IF(X161="Y",3,0)</f>
        <v/>
      </c>
      <c r="AD161" s="3">
        <f>IF(A161="","",IF(OR(H161="Y",I161&lt;2),"",ROUND(Y161+Z161+AA161+AB161+AC161,0)))</f>
        <v/>
      </c>
      <c r="AE161" s="3">
        <f>IF(A161="","",IF(H161="Y","Not recommended: active recall",IF(I161&lt;2,"Not enough evidence yet","Scored")))</f>
        <v/>
      </c>
      <c r="AF161" s="3">
        <f>IF(AD161="","",IF(AD161&gt;=85,"Excellent",IF(AD161&gt;=70,"Good",IF(AD161&gt;=55,"Fair","Poor"))))</f>
        <v/>
      </c>
      <c r="AG161" s="3">
        <f>IF(AD161="","",IF(OR(G161="Y",I161&gt;=5),"High",IF(I161&gt;=3,"Medium","Low")))</f>
        <v/>
      </c>
    </row>
    <row r="162">
      <c r="Y162" s="3">
        <f>IF(I162&gt;=3,10,IF(I162=2,5,0))+IF(J162="Y",10,IF(J162="Partial",5,0))+IF(K162="Y",10,0)</f>
        <v/>
      </c>
      <c r="Z162" s="3">
        <f>IF(M162="Y",IF(L162="Y",8,0)+IF(N162="Y",8,0)+IF(O162="Y",4,0),ROUND((IF(L162="Y",8,0)+IF(O162="Y",4,0))*20/12,1))</f>
        <v/>
      </c>
      <c r="AA162" s="3">
        <f>IF(P162="Y",8,IF(P162="Partial",4,0))+IF(Q162="Y",6,IF(Q162="Partial",3,0))+IF(R162="Y",6,0)</f>
        <v/>
      </c>
      <c r="AB162" s="3">
        <f>IF(S162="Y",5,0)+IF(T162="Y",5,0)+IF(U162&gt;=3,5,IF(U162&gt;=1,2,0))</f>
        <v/>
      </c>
      <c r="AC162" s="3">
        <f>IF(V162&gt;=2,8,IF(V162&gt;=1,5,0))+IF(W162="Y",4,0)+IF(X162="Y",3,0)</f>
        <v/>
      </c>
      <c r="AD162" s="3">
        <f>IF(A162="","",IF(OR(H162="Y",I162&lt;2),"",ROUND(Y162+Z162+AA162+AB162+AC162,0)))</f>
        <v/>
      </c>
      <c r="AE162" s="3">
        <f>IF(A162="","",IF(H162="Y","Not recommended: active recall",IF(I162&lt;2,"Not enough evidence yet","Scored")))</f>
        <v/>
      </c>
      <c r="AF162" s="3">
        <f>IF(AD162="","",IF(AD162&gt;=85,"Excellent",IF(AD162&gt;=70,"Good",IF(AD162&gt;=55,"Fair","Poor"))))</f>
        <v/>
      </c>
      <c r="AG162" s="3">
        <f>IF(AD162="","",IF(OR(G162="Y",I162&gt;=5),"High",IF(I162&gt;=3,"Medium","Low")))</f>
        <v/>
      </c>
    </row>
    <row r="163">
      <c r="Y163" s="3">
        <f>IF(I163&gt;=3,10,IF(I163=2,5,0))+IF(J163="Y",10,IF(J163="Partial",5,0))+IF(K163="Y",10,0)</f>
        <v/>
      </c>
      <c r="Z163" s="3">
        <f>IF(M163="Y",IF(L163="Y",8,0)+IF(N163="Y",8,0)+IF(O163="Y",4,0),ROUND((IF(L163="Y",8,0)+IF(O163="Y",4,0))*20/12,1))</f>
        <v/>
      </c>
      <c r="AA163" s="3">
        <f>IF(P163="Y",8,IF(P163="Partial",4,0))+IF(Q163="Y",6,IF(Q163="Partial",3,0))+IF(R163="Y",6,0)</f>
        <v/>
      </c>
      <c r="AB163" s="3">
        <f>IF(S163="Y",5,0)+IF(T163="Y",5,0)+IF(U163&gt;=3,5,IF(U163&gt;=1,2,0))</f>
        <v/>
      </c>
      <c r="AC163" s="3">
        <f>IF(V163&gt;=2,8,IF(V163&gt;=1,5,0))+IF(W163="Y",4,0)+IF(X163="Y",3,0)</f>
        <v/>
      </c>
      <c r="AD163" s="3">
        <f>IF(A163="","",IF(OR(H163="Y",I163&lt;2),"",ROUND(Y163+Z163+AA163+AB163+AC163,0)))</f>
        <v/>
      </c>
      <c r="AE163" s="3">
        <f>IF(A163="","",IF(H163="Y","Not recommended: active recall",IF(I163&lt;2,"Not enough evidence yet","Scored")))</f>
        <v/>
      </c>
      <c r="AF163" s="3">
        <f>IF(AD163="","",IF(AD163&gt;=85,"Excellent",IF(AD163&gt;=70,"Good",IF(AD163&gt;=55,"Fair","Poor"))))</f>
        <v/>
      </c>
      <c r="AG163" s="3">
        <f>IF(AD163="","",IF(OR(G163="Y",I163&gt;=5),"High",IF(I163&gt;=3,"Medium","Low")))</f>
        <v/>
      </c>
    </row>
    <row r="164">
      <c r="Y164" s="3">
        <f>IF(I164&gt;=3,10,IF(I164=2,5,0))+IF(J164="Y",10,IF(J164="Partial",5,0))+IF(K164="Y",10,0)</f>
        <v/>
      </c>
      <c r="Z164" s="3">
        <f>IF(M164="Y",IF(L164="Y",8,0)+IF(N164="Y",8,0)+IF(O164="Y",4,0),ROUND((IF(L164="Y",8,0)+IF(O164="Y",4,0))*20/12,1))</f>
        <v/>
      </c>
      <c r="AA164" s="3">
        <f>IF(P164="Y",8,IF(P164="Partial",4,0))+IF(Q164="Y",6,IF(Q164="Partial",3,0))+IF(R164="Y",6,0)</f>
        <v/>
      </c>
      <c r="AB164" s="3">
        <f>IF(S164="Y",5,0)+IF(T164="Y",5,0)+IF(U164&gt;=3,5,IF(U164&gt;=1,2,0))</f>
        <v/>
      </c>
      <c r="AC164" s="3">
        <f>IF(V164&gt;=2,8,IF(V164&gt;=1,5,0))+IF(W164="Y",4,0)+IF(X164="Y",3,0)</f>
        <v/>
      </c>
      <c r="AD164" s="3">
        <f>IF(A164="","",IF(OR(H164="Y",I164&lt;2),"",ROUND(Y164+Z164+AA164+AB164+AC164,0)))</f>
        <v/>
      </c>
      <c r="AE164" s="3">
        <f>IF(A164="","",IF(H164="Y","Not recommended: active recall",IF(I164&lt;2,"Not enough evidence yet","Scored")))</f>
        <v/>
      </c>
      <c r="AF164" s="3">
        <f>IF(AD164="","",IF(AD164&gt;=85,"Excellent",IF(AD164&gt;=70,"Good",IF(AD164&gt;=55,"Fair","Poor"))))</f>
        <v/>
      </c>
      <c r="AG164" s="3">
        <f>IF(AD164="","",IF(OR(G164="Y",I164&gt;=5),"High",IF(I164&gt;=3,"Medium","Low")))</f>
        <v/>
      </c>
    </row>
    <row r="165">
      <c r="Y165" s="3">
        <f>IF(I165&gt;=3,10,IF(I165=2,5,0))+IF(J165="Y",10,IF(J165="Partial",5,0))+IF(K165="Y",10,0)</f>
        <v/>
      </c>
      <c r="Z165" s="3">
        <f>IF(M165="Y",IF(L165="Y",8,0)+IF(N165="Y",8,0)+IF(O165="Y",4,0),ROUND((IF(L165="Y",8,0)+IF(O165="Y",4,0))*20/12,1))</f>
        <v/>
      </c>
      <c r="AA165" s="3">
        <f>IF(P165="Y",8,IF(P165="Partial",4,0))+IF(Q165="Y",6,IF(Q165="Partial",3,0))+IF(R165="Y",6,0)</f>
        <v/>
      </c>
      <c r="AB165" s="3">
        <f>IF(S165="Y",5,0)+IF(T165="Y",5,0)+IF(U165&gt;=3,5,IF(U165&gt;=1,2,0))</f>
        <v/>
      </c>
      <c r="AC165" s="3">
        <f>IF(V165&gt;=2,8,IF(V165&gt;=1,5,0))+IF(W165="Y",4,0)+IF(X165="Y",3,0)</f>
        <v/>
      </c>
      <c r="AD165" s="3">
        <f>IF(A165="","",IF(OR(H165="Y",I165&lt;2),"",ROUND(Y165+Z165+AA165+AB165+AC165,0)))</f>
        <v/>
      </c>
      <c r="AE165" s="3">
        <f>IF(A165="","",IF(H165="Y","Not recommended: active recall",IF(I165&lt;2,"Not enough evidence yet","Scored")))</f>
        <v/>
      </c>
      <c r="AF165" s="3">
        <f>IF(AD165="","",IF(AD165&gt;=85,"Excellent",IF(AD165&gt;=70,"Good",IF(AD165&gt;=55,"Fair","Poor"))))</f>
        <v/>
      </c>
      <c r="AG165" s="3">
        <f>IF(AD165="","",IF(OR(G165="Y",I165&gt;=5),"High",IF(I165&gt;=3,"Medium","Low")))</f>
        <v/>
      </c>
    </row>
    <row r="166">
      <c r="Y166" s="3">
        <f>IF(I166&gt;=3,10,IF(I166=2,5,0))+IF(J166="Y",10,IF(J166="Partial",5,0))+IF(K166="Y",10,0)</f>
        <v/>
      </c>
      <c r="Z166" s="3">
        <f>IF(M166="Y",IF(L166="Y",8,0)+IF(N166="Y",8,0)+IF(O166="Y",4,0),ROUND((IF(L166="Y",8,0)+IF(O166="Y",4,0))*20/12,1))</f>
        <v/>
      </c>
      <c r="AA166" s="3">
        <f>IF(P166="Y",8,IF(P166="Partial",4,0))+IF(Q166="Y",6,IF(Q166="Partial",3,0))+IF(R166="Y",6,0)</f>
        <v/>
      </c>
      <c r="AB166" s="3">
        <f>IF(S166="Y",5,0)+IF(T166="Y",5,0)+IF(U166&gt;=3,5,IF(U166&gt;=1,2,0))</f>
        <v/>
      </c>
      <c r="AC166" s="3">
        <f>IF(V166&gt;=2,8,IF(V166&gt;=1,5,0))+IF(W166="Y",4,0)+IF(X166="Y",3,0)</f>
        <v/>
      </c>
      <c r="AD166" s="3">
        <f>IF(A166="","",IF(OR(H166="Y",I166&lt;2),"",ROUND(Y166+Z166+AA166+AB166+AC166,0)))</f>
        <v/>
      </c>
      <c r="AE166" s="3">
        <f>IF(A166="","",IF(H166="Y","Not recommended: active recall",IF(I166&lt;2,"Not enough evidence yet","Scored")))</f>
        <v/>
      </c>
      <c r="AF166" s="3">
        <f>IF(AD166="","",IF(AD166&gt;=85,"Excellent",IF(AD166&gt;=70,"Good",IF(AD166&gt;=55,"Fair","Poor"))))</f>
        <v/>
      </c>
      <c r="AG166" s="3">
        <f>IF(AD166="","",IF(OR(G166="Y",I166&gt;=5),"High",IF(I166&gt;=3,"Medium","Low")))</f>
        <v/>
      </c>
    </row>
    <row r="167">
      <c r="Y167" s="3">
        <f>IF(I167&gt;=3,10,IF(I167=2,5,0))+IF(J167="Y",10,IF(J167="Partial",5,0))+IF(K167="Y",10,0)</f>
        <v/>
      </c>
      <c r="Z167" s="3">
        <f>IF(M167="Y",IF(L167="Y",8,0)+IF(N167="Y",8,0)+IF(O167="Y",4,0),ROUND((IF(L167="Y",8,0)+IF(O167="Y",4,0))*20/12,1))</f>
        <v/>
      </c>
      <c r="AA167" s="3">
        <f>IF(P167="Y",8,IF(P167="Partial",4,0))+IF(Q167="Y",6,IF(Q167="Partial",3,0))+IF(R167="Y",6,0)</f>
        <v/>
      </c>
      <c r="AB167" s="3">
        <f>IF(S167="Y",5,0)+IF(T167="Y",5,0)+IF(U167&gt;=3,5,IF(U167&gt;=1,2,0))</f>
        <v/>
      </c>
      <c r="AC167" s="3">
        <f>IF(V167&gt;=2,8,IF(V167&gt;=1,5,0))+IF(W167="Y",4,0)+IF(X167="Y",3,0)</f>
        <v/>
      </c>
      <c r="AD167" s="3">
        <f>IF(A167="","",IF(OR(H167="Y",I167&lt;2),"",ROUND(Y167+Z167+AA167+AB167+AC167,0)))</f>
        <v/>
      </c>
      <c r="AE167" s="3">
        <f>IF(A167="","",IF(H167="Y","Not recommended: active recall",IF(I167&lt;2,"Not enough evidence yet","Scored")))</f>
        <v/>
      </c>
      <c r="AF167" s="3">
        <f>IF(AD167="","",IF(AD167&gt;=85,"Excellent",IF(AD167&gt;=70,"Good",IF(AD167&gt;=55,"Fair","Poor"))))</f>
        <v/>
      </c>
      <c r="AG167" s="3">
        <f>IF(AD167="","",IF(OR(G167="Y",I167&gt;=5),"High",IF(I167&gt;=3,"Medium","Low")))</f>
        <v/>
      </c>
    </row>
    <row r="168">
      <c r="Y168" s="3">
        <f>IF(I168&gt;=3,10,IF(I168=2,5,0))+IF(J168="Y",10,IF(J168="Partial",5,0))+IF(K168="Y",10,0)</f>
        <v/>
      </c>
      <c r="Z168" s="3">
        <f>IF(M168="Y",IF(L168="Y",8,0)+IF(N168="Y",8,0)+IF(O168="Y",4,0),ROUND((IF(L168="Y",8,0)+IF(O168="Y",4,0))*20/12,1))</f>
        <v/>
      </c>
      <c r="AA168" s="3">
        <f>IF(P168="Y",8,IF(P168="Partial",4,0))+IF(Q168="Y",6,IF(Q168="Partial",3,0))+IF(R168="Y",6,0)</f>
        <v/>
      </c>
      <c r="AB168" s="3">
        <f>IF(S168="Y",5,0)+IF(T168="Y",5,0)+IF(U168&gt;=3,5,IF(U168&gt;=1,2,0))</f>
        <v/>
      </c>
      <c r="AC168" s="3">
        <f>IF(V168&gt;=2,8,IF(V168&gt;=1,5,0))+IF(W168="Y",4,0)+IF(X168="Y",3,0)</f>
        <v/>
      </c>
      <c r="AD168" s="3">
        <f>IF(A168="","",IF(OR(H168="Y",I168&lt;2),"",ROUND(Y168+Z168+AA168+AB168+AC168,0)))</f>
        <v/>
      </c>
      <c r="AE168" s="3">
        <f>IF(A168="","",IF(H168="Y","Not recommended: active recall",IF(I168&lt;2,"Not enough evidence yet","Scored")))</f>
        <v/>
      </c>
      <c r="AF168" s="3">
        <f>IF(AD168="","",IF(AD168&gt;=85,"Excellent",IF(AD168&gt;=70,"Good",IF(AD168&gt;=55,"Fair","Poor"))))</f>
        <v/>
      </c>
      <c r="AG168" s="3">
        <f>IF(AD168="","",IF(OR(G168="Y",I168&gt;=5),"High",IF(I168&gt;=3,"Medium","Low")))</f>
        <v/>
      </c>
    </row>
    <row r="169">
      <c r="Y169" s="3">
        <f>IF(I169&gt;=3,10,IF(I169=2,5,0))+IF(J169="Y",10,IF(J169="Partial",5,0))+IF(K169="Y",10,0)</f>
        <v/>
      </c>
      <c r="Z169" s="3">
        <f>IF(M169="Y",IF(L169="Y",8,0)+IF(N169="Y",8,0)+IF(O169="Y",4,0),ROUND((IF(L169="Y",8,0)+IF(O169="Y",4,0))*20/12,1))</f>
        <v/>
      </c>
      <c r="AA169" s="3">
        <f>IF(P169="Y",8,IF(P169="Partial",4,0))+IF(Q169="Y",6,IF(Q169="Partial",3,0))+IF(R169="Y",6,0)</f>
        <v/>
      </c>
      <c r="AB169" s="3">
        <f>IF(S169="Y",5,0)+IF(T169="Y",5,0)+IF(U169&gt;=3,5,IF(U169&gt;=1,2,0))</f>
        <v/>
      </c>
      <c r="AC169" s="3">
        <f>IF(V169&gt;=2,8,IF(V169&gt;=1,5,0))+IF(W169="Y",4,0)+IF(X169="Y",3,0)</f>
        <v/>
      </c>
      <c r="AD169" s="3">
        <f>IF(A169="","",IF(OR(H169="Y",I169&lt;2),"",ROUND(Y169+Z169+AA169+AB169+AC169,0)))</f>
        <v/>
      </c>
      <c r="AE169" s="3">
        <f>IF(A169="","",IF(H169="Y","Not recommended: active recall",IF(I169&lt;2,"Not enough evidence yet","Scored")))</f>
        <v/>
      </c>
      <c r="AF169" s="3">
        <f>IF(AD169="","",IF(AD169&gt;=85,"Excellent",IF(AD169&gt;=70,"Good",IF(AD169&gt;=55,"Fair","Poor"))))</f>
        <v/>
      </c>
      <c r="AG169" s="3">
        <f>IF(AD169="","",IF(OR(G169="Y",I169&gt;=5),"High",IF(I169&gt;=3,"Medium","Low")))</f>
        <v/>
      </c>
    </row>
    <row r="170">
      <c r="Y170" s="3">
        <f>IF(I170&gt;=3,10,IF(I170=2,5,0))+IF(J170="Y",10,IF(J170="Partial",5,0))+IF(K170="Y",10,0)</f>
        <v/>
      </c>
      <c r="Z170" s="3">
        <f>IF(M170="Y",IF(L170="Y",8,0)+IF(N170="Y",8,0)+IF(O170="Y",4,0),ROUND((IF(L170="Y",8,0)+IF(O170="Y",4,0))*20/12,1))</f>
        <v/>
      </c>
      <c r="AA170" s="3">
        <f>IF(P170="Y",8,IF(P170="Partial",4,0))+IF(Q170="Y",6,IF(Q170="Partial",3,0))+IF(R170="Y",6,0)</f>
        <v/>
      </c>
      <c r="AB170" s="3">
        <f>IF(S170="Y",5,0)+IF(T170="Y",5,0)+IF(U170&gt;=3,5,IF(U170&gt;=1,2,0))</f>
        <v/>
      </c>
      <c r="AC170" s="3">
        <f>IF(V170&gt;=2,8,IF(V170&gt;=1,5,0))+IF(W170="Y",4,0)+IF(X170="Y",3,0)</f>
        <v/>
      </c>
      <c r="AD170" s="3">
        <f>IF(A170="","",IF(OR(H170="Y",I170&lt;2),"",ROUND(Y170+Z170+AA170+AB170+AC170,0)))</f>
        <v/>
      </c>
      <c r="AE170" s="3">
        <f>IF(A170="","",IF(H170="Y","Not recommended: active recall",IF(I170&lt;2,"Not enough evidence yet","Scored")))</f>
        <v/>
      </c>
      <c r="AF170" s="3">
        <f>IF(AD170="","",IF(AD170&gt;=85,"Excellent",IF(AD170&gt;=70,"Good",IF(AD170&gt;=55,"Fair","Poor"))))</f>
        <v/>
      </c>
      <c r="AG170" s="3">
        <f>IF(AD170="","",IF(OR(G170="Y",I170&gt;=5),"High",IF(I170&gt;=3,"Medium","Low")))</f>
        <v/>
      </c>
    </row>
    <row r="171">
      <c r="Y171" s="3">
        <f>IF(I171&gt;=3,10,IF(I171=2,5,0))+IF(J171="Y",10,IF(J171="Partial",5,0))+IF(K171="Y",10,0)</f>
        <v/>
      </c>
      <c r="Z171" s="3">
        <f>IF(M171="Y",IF(L171="Y",8,0)+IF(N171="Y",8,0)+IF(O171="Y",4,0),ROUND((IF(L171="Y",8,0)+IF(O171="Y",4,0))*20/12,1))</f>
        <v/>
      </c>
      <c r="AA171" s="3">
        <f>IF(P171="Y",8,IF(P171="Partial",4,0))+IF(Q171="Y",6,IF(Q171="Partial",3,0))+IF(R171="Y",6,0)</f>
        <v/>
      </c>
      <c r="AB171" s="3">
        <f>IF(S171="Y",5,0)+IF(T171="Y",5,0)+IF(U171&gt;=3,5,IF(U171&gt;=1,2,0))</f>
        <v/>
      </c>
      <c r="AC171" s="3">
        <f>IF(V171&gt;=2,8,IF(V171&gt;=1,5,0))+IF(W171="Y",4,0)+IF(X171="Y",3,0)</f>
        <v/>
      </c>
      <c r="AD171" s="3">
        <f>IF(A171="","",IF(OR(H171="Y",I171&lt;2),"",ROUND(Y171+Z171+AA171+AB171+AC171,0)))</f>
        <v/>
      </c>
      <c r="AE171" s="3">
        <f>IF(A171="","",IF(H171="Y","Not recommended: active recall",IF(I171&lt;2,"Not enough evidence yet","Scored")))</f>
        <v/>
      </c>
      <c r="AF171" s="3">
        <f>IF(AD171="","",IF(AD171&gt;=85,"Excellent",IF(AD171&gt;=70,"Good",IF(AD171&gt;=55,"Fair","Poor"))))</f>
        <v/>
      </c>
      <c r="AG171" s="3">
        <f>IF(AD171="","",IF(OR(G171="Y",I171&gt;=5),"High",IF(I171&gt;=3,"Medium","Low")))</f>
        <v/>
      </c>
    </row>
    <row r="172">
      <c r="Y172" s="3">
        <f>IF(I172&gt;=3,10,IF(I172=2,5,0))+IF(J172="Y",10,IF(J172="Partial",5,0))+IF(K172="Y",10,0)</f>
        <v/>
      </c>
      <c r="Z172" s="3">
        <f>IF(M172="Y",IF(L172="Y",8,0)+IF(N172="Y",8,0)+IF(O172="Y",4,0),ROUND((IF(L172="Y",8,0)+IF(O172="Y",4,0))*20/12,1))</f>
        <v/>
      </c>
      <c r="AA172" s="3">
        <f>IF(P172="Y",8,IF(P172="Partial",4,0))+IF(Q172="Y",6,IF(Q172="Partial",3,0))+IF(R172="Y",6,0)</f>
        <v/>
      </c>
      <c r="AB172" s="3">
        <f>IF(S172="Y",5,0)+IF(T172="Y",5,0)+IF(U172&gt;=3,5,IF(U172&gt;=1,2,0))</f>
        <v/>
      </c>
      <c r="AC172" s="3">
        <f>IF(V172&gt;=2,8,IF(V172&gt;=1,5,0))+IF(W172="Y",4,0)+IF(X172="Y",3,0)</f>
        <v/>
      </c>
      <c r="AD172" s="3">
        <f>IF(A172="","",IF(OR(H172="Y",I172&lt;2),"",ROUND(Y172+Z172+AA172+AB172+AC172,0)))</f>
        <v/>
      </c>
      <c r="AE172" s="3">
        <f>IF(A172="","",IF(H172="Y","Not recommended: active recall",IF(I172&lt;2,"Not enough evidence yet","Scored")))</f>
        <v/>
      </c>
      <c r="AF172" s="3">
        <f>IF(AD172="","",IF(AD172&gt;=85,"Excellent",IF(AD172&gt;=70,"Good",IF(AD172&gt;=55,"Fair","Poor"))))</f>
        <v/>
      </c>
      <c r="AG172" s="3">
        <f>IF(AD172="","",IF(OR(G172="Y",I172&gt;=5),"High",IF(I172&gt;=3,"Medium","Low")))</f>
        <v/>
      </c>
    </row>
    <row r="173">
      <c r="Y173" s="3">
        <f>IF(I173&gt;=3,10,IF(I173=2,5,0))+IF(J173="Y",10,IF(J173="Partial",5,0))+IF(K173="Y",10,0)</f>
        <v/>
      </c>
      <c r="Z173" s="3">
        <f>IF(M173="Y",IF(L173="Y",8,0)+IF(N173="Y",8,0)+IF(O173="Y",4,0),ROUND((IF(L173="Y",8,0)+IF(O173="Y",4,0))*20/12,1))</f>
        <v/>
      </c>
      <c r="AA173" s="3">
        <f>IF(P173="Y",8,IF(P173="Partial",4,0))+IF(Q173="Y",6,IF(Q173="Partial",3,0))+IF(R173="Y",6,0)</f>
        <v/>
      </c>
      <c r="AB173" s="3">
        <f>IF(S173="Y",5,0)+IF(T173="Y",5,0)+IF(U173&gt;=3,5,IF(U173&gt;=1,2,0))</f>
        <v/>
      </c>
      <c r="AC173" s="3">
        <f>IF(V173&gt;=2,8,IF(V173&gt;=1,5,0))+IF(W173="Y",4,0)+IF(X173="Y",3,0)</f>
        <v/>
      </c>
      <c r="AD173" s="3">
        <f>IF(A173="","",IF(OR(H173="Y",I173&lt;2),"",ROUND(Y173+Z173+AA173+AB173+AC173,0)))</f>
        <v/>
      </c>
      <c r="AE173" s="3">
        <f>IF(A173="","",IF(H173="Y","Not recommended: active recall",IF(I173&lt;2,"Not enough evidence yet","Scored")))</f>
        <v/>
      </c>
      <c r="AF173" s="3">
        <f>IF(AD173="","",IF(AD173&gt;=85,"Excellent",IF(AD173&gt;=70,"Good",IF(AD173&gt;=55,"Fair","Poor"))))</f>
        <v/>
      </c>
      <c r="AG173" s="3">
        <f>IF(AD173="","",IF(OR(G173="Y",I173&gt;=5),"High",IF(I173&gt;=3,"Medium","Low")))</f>
        <v/>
      </c>
    </row>
    <row r="174">
      <c r="Y174" s="3">
        <f>IF(I174&gt;=3,10,IF(I174=2,5,0))+IF(J174="Y",10,IF(J174="Partial",5,0))+IF(K174="Y",10,0)</f>
        <v/>
      </c>
      <c r="Z174" s="3">
        <f>IF(M174="Y",IF(L174="Y",8,0)+IF(N174="Y",8,0)+IF(O174="Y",4,0),ROUND((IF(L174="Y",8,0)+IF(O174="Y",4,0))*20/12,1))</f>
        <v/>
      </c>
      <c r="AA174" s="3">
        <f>IF(P174="Y",8,IF(P174="Partial",4,0))+IF(Q174="Y",6,IF(Q174="Partial",3,0))+IF(R174="Y",6,0)</f>
        <v/>
      </c>
      <c r="AB174" s="3">
        <f>IF(S174="Y",5,0)+IF(T174="Y",5,0)+IF(U174&gt;=3,5,IF(U174&gt;=1,2,0))</f>
        <v/>
      </c>
      <c r="AC174" s="3">
        <f>IF(V174&gt;=2,8,IF(V174&gt;=1,5,0))+IF(W174="Y",4,0)+IF(X174="Y",3,0)</f>
        <v/>
      </c>
      <c r="AD174" s="3">
        <f>IF(A174="","",IF(OR(H174="Y",I174&lt;2),"",ROUND(Y174+Z174+AA174+AB174+AC174,0)))</f>
        <v/>
      </c>
      <c r="AE174" s="3">
        <f>IF(A174="","",IF(H174="Y","Not recommended: active recall",IF(I174&lt;2,"Not enough evidence yet","Scored")))</f>
        <v/>
      </c>
      <c r="AF174" s="3">
        <f>IF(AD174="","",IF(AD174&gt;=85,"Excellent",IF(AD174&gt;=70,"Good",IF(AD174&gt;=55,"Fair","Poor"))))</f>
        <v/>
      </c>
      <c r="AG174" s="3">
        <f>IF(AD174="","",IF(OR(G174="Y",I174&gt;=5),"High",IF(I174&gt;=3,"Medium","Low")))</f>
        <v/>
      </c>
    </row>
    <row r="175">
      <c r="Y175" s="3">
        <f>IF(I175&gt;=3,10,IF(I175=2,5,0))+IF(J175="Y",10,IF(J175="Partial",5,0))+IF(K175="Y",10,0)</f>
        <v/>
      </c>
      <c r="Z175" s="3">
        <f>IF(M175="Y",IF(L175="Y",8,0)+IF(N175="Y",8,0)+IF(O175="Y",4,0),ROUND((IF(L175="Y",8,0)+IF(O175="Y",4,0))*20/12,1))</f>
        <v/>
      </c>
      <c r="AA175" s="3">
        <f>IF(P175="Y",8,IF(P175="Partial",4,0))+IF(Q175="Y",6,IF(Q175="Partial",3,0))+IF(R175="Y",6,0)</f>
        <v/>
      </c>
      <c r="AB175" s="3">
        <f>IF(S175="Y",5,0)+IF(T175="Y",5,0)+IF(U175&gt;=3,5,IF(U175&gt;=1,2,0))</f>
        <v/>
      </c>
      <c r="AC175" s="3">
        <f>IF(V175&gt;=2,8,IF(V175&gt;=1,5,0))+IF(W175="Y",4,0)+IF(X175="Y",3,0)</f>
        <v/>
      </c>
      <c r="AD175" s="3">
        <f>IF(A175="","",IF(OR(H175="Y",I175&lt;2),"",ROUND(Y175+Z175+AA175+AB175+AC175,0)))</f>
        <v/>
      </c>
      <c r="AE175" s="3">
        <f>IF(A175="","",IF(H175="Y","Not recommended: active recall",IF(I175&lt;2,"Not enough evidence yet","Scored")))</f>
        <v/>
      </c>
      <c r="AF175" s="3">
        <f>IF(AD175="","",IF(AD175&gt;=85,"Excellent",IF(AD175&gt;=70,"Good",IF(AD175&gt;=55,"Fair","Poor"))))</f>
        <v/>
      </c>
      <c r="AG175" s="3">
        <f>IF(AD175="","",IF(OR(G175="Y",I175&gt;=5),"High",IF(I175&gt;=3,"Medium","Low")))</f>
        <v/>
      </c>
    </row>
    <row r="176">
      <c r="Y176" s="3">
        <f>IF(I176&gt;=3,10,IF(I176=2,5,0))+IF(J176="Y",10,IF(J176="Partial",5,0))+IF(K176="Y",10,0)</f>
        <v/>
      </c>
      <c r="Z176" s="3">
        <f>IF(M176="Y",IF(L176="Y",8,0)+IF(N176="Y",8,0)+IF(O176="Y",4,0),ROUND((IF(L176="Y",8,0)+IF(O176="Y",4,0))*20/12,1))</f>
        <v/>
      </c>
      <c r="AA176" s="3">
        <f>IF(P176="Y",8,IF(P176="Partial",4,0))+IF(Q176="Y",6,IF(Q176="Partial",3,0))+IF(R176="Y",6,0)</f>
        <v/>
      </c>
      <c r="AB176" s="3">
        <f>IF(S176="Y",5,0)+IF(T176="Y",5,0)+IF(U176&gt;=3,5,IF(U176&gt;=1,2,0))</f>
        <v/>
      </c>
      <c r="AC176" s="3">
        <f>IF(V176&gt;=2,8,IF(V176&gt;=1,5,0))+IF(W176="Y",4,0)+IF(X176="Y",3,0)</f>
        <v/>
      </c>
      <c r="AD176" s="3">
        <f>IF(A176="","",IF(OR(H176="Y",I176&lt;2),"",ROUND(Y176+Z176+AA176+AB176+AC176,0)))</f>
        <v/>
      </c>
      <c r="AE176" s="3">
        <f>IF(A176="","",IF(H176="Y","Not recommended: active recall",IF(I176&lt;2,"Not enough evidence yet","Scored")))</f>
        <v/>
      </c>
      <c r="AF176" s="3">
        <f>IF(AD176="","",IF(AD176&gt;=85,"Excellent",IF(AD176&gt;=70,"Good",IF(AD176&gt;=55,"Fair","Poor"))))</f>
        <v/>
      </c>
      <c r="AG176" s="3">
        <f>IF(AD176="","",IF(OR(G176="Y",I176&gt;=5),"High",IF(I176&gt;=3,"Medium","Low")))</f>
        <v/>
      </c>
    </row>
    <row r="177">
      <c r="Y177" s="3">
        <f>IF(I177&gt;=3,10,IF(I177=2,5,0))+IF(J177="Y",10,IF(J177="Partial",5,0))+IF(K177="Y",10,0)</f>
        <v/>
      </c>
      <c r="Z177" s="3">
        <f>IF(M177="Y",IF(L177="Y",8,0)+IF(N177="Y",8,0)+IF(O177="Y",4,0),ROUND((IF(L177="Y",8,0)+IF(O177="Y",4,0))*20/12,1))</f>
        <v/>
      </c>
      <c r="AA177" s="3">
        <f>IF(P177="Y",8,IF(P177="Partial",4,0))+IF(Q177="Y",6,IF(Q177="Partial",3,0))+IF(R177="Y",6,0)</f>
        <v/>
      </c>
      <c r="AB177" s="3">
        <f>IF(S177="Y",5,0)+IF(T177="Y",5,0)+IF(U177&gt;=3,5,IF(U177&gt;=1,2,0))</f>
        <v/>
      </c>
      <c r="AC177" s="3">
        <f>IF(V177&gt;=2,8,IF(V177&gt;=1,5,0))+IF(W177="Y",4,0)+IF(X177="Y",3,0)</f>
        <v/>
      </c>
      <c r="AD177" s="3">
        <f>IF(A177="","",IF(OR(H177="Y",I177&lt;2),"",ROUND(Y177+Z177+AA177+AB177+AC177,0)))</f>
        <v/>
      </c>
      <c r="AE177" s="3">
        <f>IF(A177="","",IF(H177="Y","Not recommended: active recall",IF(I177&lt;2,"Not enough evidence yet","Scored")))</f>
        <v/>
      </c>
      <c r="AF177" s="3">
        <f>IF(AD177="","",IF(AD177&gt;=85,"Excellent",IF(AD177&gt;=70,"Good",IF(AD177&gt;=55,"Fair","Poor"))))</f>
        <v/>
      </c>
      <c r="AG177" s="3">
        <f>IF(AD177="","",IF(OR(G177="Y",I177&gt;=5),"High",IF(I177&gt;=3,"Medium","Low")))</f>
        <v/>
      </c>
    </row>
    <row r="178">
      <c r="Y178" s="3">
        <f>IF(I178&gt;=3,10,IF(I178=2,5,0))+IF(J178="Y",10,IF(J178="Partial",5,0))+IF(K178="Y",10,0)</f>
        <v/>
      </c>
      <c r="Z178" s="3">
        <f>IF(M178="Y",IF(L178="Y",8,0)+IF(N178="Y",8,0)+IF(O178="Y",4,0),ROUND((IF(L178="Y",8,0)+IF(O178="Y",4,0))*20/12,1))</f>
        <v/>
      </c>
      <c r="AA178" s="3">
        <f>IF(P178="Y",8,IF(P178="Partial",4,0))+IF(Q178="Y",6,IF(Q178="Partial",3,0))+IF(R178="Y",6,0)</f>
        <v/>
      </c>
      <c r="AB178" s="3">
        <f>IF(S178="Y",5,0)+IF(T178="Y",5,0)+IF(U178&gt;=3,5,IF(U178&gt;=1,2,0))</f>
        <v/>
      </c>
      <c r="AC178" s="3">
        <f>IF(V178&gt;=2,8,IF(V178&gt;=1,5,0))+IF(W178="Y",4,0)+IF(X178="Y",3,0)</f>
        <v/>
      </c>
      <c r="AD178" s="3">
        <f>IF(A178="","",IF(OR(H178="Y",I178&lt;2),"",ROUND(Y178+Z178+AA178+AB178+AC178,0)))</f>
        <v/>
      </c>
      <c r="AE178" s="3">
        <f>IF(A178="","",IF(H178="Y","Not recommended: active recall",IF(I178&lt;2,"Not enough evidence yet","Scored")))</f>
        <v/>
      </c>
      <c r="AF178" s="3">
        <f>IF(AD178="","",IF(AD178&gt;=85,"Excellent",IF(AD178&gt;=70,"Good",IF(AD178&gt;=55,"Fair","Poor"))))</f>
        <v/>
      </c>
      <c r="AG178" s="3">
        <f>IF(AD178="","",IF(OR(G178="Y",I178&gt;=5),"High",IF(I178&gt;=3,"Medium","Low")))</f>
        <v/>
      </c>
    </row>
    <row r="179">
      <c r="Y179" s="3">
        <f>IF(I179&gt;=3,10,IF(I179=2,5,0))+IF(J179="Y",10,IF(J179="Partial",5,0))+IF(K179="Y",10,0)</f>
        <v/>
      </c>
      <c r="Z179" s="3">
        <f>IF(M179="Y",IF(L179="Y",8,0)+IF(N179="Y",8,0)+IF(O179="Y",4,0),ROUND((IF(L179="Y",8,0)+IF(O179="Y",4,0))*20/12,1))</f>
        <v/>
      </c>
      <c r="AA179" s="3">
        <f>IF(P179="Y",8,IF(P179="Partial",4,0))+IF(Q179="Y",6,IF(Q179="Partial",3,0))+IF(R179="Y",6,0)</f>
        <v/>
      </c>
      <c r="AB179" s="3">
        <f>IF(S179="Y",5,0)+IF(T179="Y",5,0)+IF(U179&gt;=3,5,IF(U179&gt;=1,2,0))</f>
        <v/>
      </c>
      <c r="AC179" s="3">
        <f>IF(V179&gt;=2,8,IF(V179&gt;=1,5,0))+IF(W179="Y",4,0)+IF(X179="Y",3,0)</f>
        <v/>
      </c>
      <c r="AD179" s="3">
        <f>IF(A179="","",IF(OR(H179="Y",I179&lt;2),"",ROUND(Y179+Z179+AA179+AB179+AC179,0)))</f>
        <v/>
      </c>
      <c r="AE179" s="3">
        <f>IF(A179="","",IF(H179="Y","Not recommended: active recall",IF(I179&lt;2,"Not enough evidence yet","Scored")))</f>
        <v/>
      </c>
      <c r="AF179" s="3">
        <f>IF(AD179="","",IF(AD179&gt;=85,"Excellent",IF(AD179&gt;=70,"Good",IF(AD179&gt;=55,"Fair","Poor"))))</f>
        <v/>
      </c>
      <c r="AG179" s="3">
        <f>IF(AD179="","",IF(OR(G179="Y",I179&gt;=5),"High",IF(I179&gt;=3,"Medium","Low")))</f>
        <v/>
      </c>
    </row>
    <row r="180">
      <c r="Y180" s="3">
        <f>IF(I180&gt;=3,10,IF(I180=2,5,0))+IF(J180="Y",10,IF(J180="Partial",5,0))+IF(K180="Y",10,0)</f>
        <v/>
      </c>
      <c r="Z180" s="3">
        <f>IF(M180="Y",IF(L180="Y",8,0)+IF(N180="Y",8,0)+IF(O180="Y",4,0),ROUND((IF(L180="Y",8,0)+IF(O180="Y",4,0))*20/12,1))</f>
        <v/>
      </c>
      <c r="AA180" s="3">
        <f>IF(P180="Y",8,IF(P180="Partial",4,0))+IF(Q180="Y",6,IF(Q180="Partial",3,0))+IF(R180="Y",6,0)</f>
        <v/>
      </c>
      <c r="AB180" s="3">
        <f>IF(S180="Y",5,0)+IF(T180="Y",5,0)+IF(U180&gt;=3,5,IF(U180&gt;=1,2,0))</f>
        <v/>
      </c>
      <c r="AC180" s="3">
        <f>IF(V180&gt;=2,8,IF(V180&gt;=1,5,0))+IF(W180="Y",4,0)+IF(X180="Y",3,0)</f>
        <v/>
      </c>
      <c r="AD180" s="3">
        <f>IF(A180="","",IF(OR(H180="Y",I180&lt;2),"",ROUND(Y180+Z180+AA180+AB180+AC180,0)))</f>
        <v/>
      </c>
      <c r="AE180" s="3">
        <f>IF(A180="","",IF(H180="Y","Not recommended: active recall",IF(I180&lt;2,"Not enough evidence yet","Scored")))</f>
        <v/>
      </c>
      <c r="AF180" s="3">
        <f>IF(AD180="","",IF(AD180&gt;=85,"Excellent",IF(AD180&gt;=70,"Good",IF(AD180&gt;=55,"Fair","Poor"))))</f>
        <v/>
      </c>
      <c r="AG180" s="3">
        <f>IF(AD180="","",IF(OR(G180="Y",I180&gt;=5),"High",IF(I180&gt;=3,"Medium","Low")))</f>
        <v/>
      </c>
    </row>
    <row r="181">
      <c r="Y181" s="3">
        <f>IF(I181&gt;=3,10,IF(I181=2,5,0))+IF(J181="Y",10,IF(J181="Partial",5,0))+IF(K181="Y",10,0)</f>
        <v/>
      </c>
      <c r="Z181" s="3">
        <f>IF(M181="Y",IF(L181="Y",8,0)+IF(N181="Y",8,0)+IF(O181="Y",4,0),ROUND((IF(L181="Y",8,0)+IF(O181="Y",4,0))*20/12,1))</f>
        <v/>
      </c>
      <c r="AA181" s="3">
        <f>IF(P181="Y",8,IF(P181="Partial",4,0))+IF(Q181="Y",6,IF(Q181="Partial",3,0))+IF(R181="Y",6,0)</f>
        <v/>
      </c>
      <c r="AB181" s="3">
        <f>IF(S181="Y",5,0)+IF(T181="Y",5,0)+IF(U181&gt;=3,5,IF(U181&gt;=1,2,0))</f>
        <v/>
      </c>
      <c r="AC181" s="3">
        <f>IF(V181&gt;=2,8,IF(V181&gt;=1,5,0))+IF(W181="Y",4,0)+IF(X181="Y",3,0)</f>
        <v/>
      </c>
      <c r="AD181" s="3">
        <f>IF(A181="","",IF(OR(H181="Y",I181&lt;2),"",ROUND(Y181+Z181+AA181+AB181+AC181,0)))</f>
        <v/>
      </c>
      <c r="AE181" s="3">
        <f>IF(A181="","",IF(H181="Y","Not recommended: active recall",IF(I181&lt;2,"Not enough evidence yet","Scored")))</f>
        <v/>
      </c>
      <c r="AF181" s="3">
        <f>IF(AD181="","",IF(AD181&gt;=85,"Excellent",IF(AD181&gt;=70,"Good",IF(AD181&gt;=55,"Fair","Poor"))))</f>
        <v/>
      </c>
      <c r="AG181" s="3">
        <f>IF(AD181="","",IF(OR(G181="Y",I181&gt;=5),"High",IF(I181&gt;=3,"Medium","Low")))</f>
        <v/>
      </c>
    </row>
    <row r="182">
      <c r="Y182" s="3">
        <f>IF(I182&gt;=3,10,IF(I182=2,5,0))+IF(J182="Y",10,IF(J182="Partial",5,0))+IF(K182="Y",10,0)</f>
        <v/>
      </c>
      <c r="Z182" s="3">
        <f>IF(M182="Y",IF(L182="Y",8,0)+IF(N182="Y",8,0)+IF(O182="Y",4,0),ROUND((IF(L182="Y",8,0)+IF(O182="Y",4,0))*20/12,1))</f>
        <v/>
      </c>
      <c r="AA182" s="3">
        <f>IF(P182="Y",8,IF(P182="Partial",4,0))+IF(Q182="Y",6,IF(Q182="Partial",3,0))+IF(R182="Y",6,0)</f>
        <v/>
      </c>
      <c r="AB182" s="3">
        <f>IF(S182="Y",5,0)+IF(T182="Y",5,0)+IF(U182&gt;=3,5,IF(U182&gt;=1,2,0))</f>
        <v/>
      </c>
      <c r="AC182" s="3">
        <f>IF(V182&gt;=2,8,IF(V182&gt;=1,5,0))+IF(W182="Y",4,0)+IF(X182="Y",3,0)</f>
        <v/>
      </c>
      <c r="AD182" s="3">
        <f>IF(A182="","",IF(OR(H182="Y",I182&lt;2),"",ROUND(Y182+Z182+AA182+AB182+AC182,0)))</f>
        <v/>
      </c>
      <c r="AE182" s="3">
        <f>IF(A182="","",IF(H182="Y","Not recommended: active recall",IF(I182&lt;2,"Not enough evidence yet","Scored")))</f>
        <v/>
      </c>
      <c r="AF182" s="3">
        <f>IF(AD182="","",IF(AD182&gt;=85,"Excellent",IF(AD182&gt;=70,"Good",IF(AD182&gt;=55,"Fair","Poor"))))</f>
        <v/>
      </c>
      <c r="AG182" s="3">
        <f>IF(AD182="","",IF(OR(G182="Y",I182&gt;=5),"High",IF(I182&gt;=3,"Medium","Low")))</f>
        <v/>
      </c>
    </row>
    <row r="183">
      <c r="Y183" s="3">
        <f>IF(I183&gt;=3,10,IF(I183=2,5,0))+IF(J183="Y",10,IF(J183="Partial",5,0))+IF(K183="Y",10,0)</f>
        <v/>
      </c>
      <c r="Z183" s="3">
        <f>IF(M183="Y",IF(L183="Y",8,0)+IF(N183="Y",8,0)+IF(O183="Y",4,0),ROUND((IF(L183="Y",8,0)+IF(O183="Y",4,0))*20/12,1))</f>
        <v/>
      </c>
      <c r="AA183" s="3">
        <f>IF(P183="Y",8,IF(P183="Partial",4,0))+IF(Q183="Y",6,IF(Q183="Partial",3,0))+IF(R183="Y",6,0)</f>
        <v/>
      </c>
      <c r="AB183" s="3">
        <f>IF(S183="Y",5,0)+IF(T183="Y",5,0)+IF(U183&gt;=3,5,IF(U183&gt;=1,2,0))</f>
        <v/>
      </c>
      <c r="AC183" s="3">
        <f>IF(V183&gt;=2,8,IF(V183&gt;=1,5,0))+IF(W183="Y",4,0)+IF(X183="Y",3,0)</f>
        <v/>
      </c>
      <c r="AD183" s="3">
        <f>IF(A183="","",IF(OR(H183="Y",I183&lt;2),"",ROUND(Y183+Z183+AA183+AB183+AC183,0)))</f>
        <v/>
      </c>
      <c r="AE183" s="3">
        <f>IF(A183="","",IF(H183="Y","Not recommended: active recall",IF(I183&lt;2,"Not enough evidence yet","Scored")))</f>
        <v/>
      </c>
      <c r="AF183" s="3">
        <f>IF(AD183="","",IF(AD183&gt;=85,"Excellent",IF(AD183&gt;=70,"Good",IF(AD183&gt;=55,"Fair","Poor"))))</f>
        <v/>
      </c>
      <c r="AG183" s="3">
        <f>IF(AD183="","",IF(OR(G183="Y",I183&gt;=5),"High",IF(I183&gt;=3,"Medium","Low")))</f>
        <v/>
      </c>
    </row>
    <row r="184">
      <c r="Y184" s="3">
        <f>IF(I184&gt;=3,10,IF(I184=2,5,0))+IF(J184="Y",10,IF(J184="Partial",5,0))+IF(K184="Y",10,0)</f>
        <v/>
      </c>
      <c r="Z184" s="3">
        <f>IF(M184="Y",IF(L184="Y",8,0)+IF(N184="Y",8,0)+IF(O184="Y",4,0),ROUND((IF(L184="Y",8,0)+IF(O184="Y",4,0))*20/12,1))</f>
        <v/>
      </c>
      <c r="AA184" s="3">
        <f>IF(P184="Y",8,IF(P184="Partial",4,0))+IF(Q184="Y",6,IF(Q184="Partial",3,0))+IF(R184="Y",6,0)</f>
        <v/>
      </c>
      <c r="AB184" s="3">
        <f>IF(S184="Y",5,0)+IF(T184="Y",5,0)+IF(U184&gt;=3,5,IF(U184&gt;=1,2,0))</f>
        <v/>
      </c>
      <c r="AC184" s="3">
        <f>IF(V184&gt;=2,8,IF(V184&gt;=1,5,0))+IF(W184="Y",4,0)+IF(X184="Y",3,0)</f>
        <v/>
      </c>
      <c r="AD184" s="3">
        <f>IF(A184="","",IF(OR(H184="Y",I184&lt;2),"",ROUND(Y184+Z184+AA184+AB184+AC184,0)))</f>
        <v/>
      </c>
      <c r="AE184" s="3">
        <f>IF(A184="","",IF(H184="Y","Not recommended: active recall",IF(I184&lt;2,"Not enough evidence yet","Scored")))</f>
        <v/>
      </c>
      <c r="AF184" s="3">
        <f>IF(AD184="","",IF(AD184&gt;=85,"Excellent",IF(AD184&gt;=70,"Good",IF(AD184&gt;=55,"Fair","Poor"))))</f>
        <v/>
      </c>
      <c r="AG184" s="3">
        <f>IF(AD184="","",IF(OR(G184="Y",I184&gt;=5),"High",IF(I184&gt;=3,"Medium","Low")))</f>
        <v/>
      </c>
    </row>
    <row r="185">
      <c r="Y185" s="3">
        <f>IF(I185&gt;=3,10,IF(I185=2,5,0))+IF(J185="Y",10,IF(J185="Partial",5,0))+IF(K185="Y",10,0)</f>
        <v/>
      </c>
      <c r="Z185" s="3">
        <f>IF(M185="Y",IF(L185="Y",8,0)+IF(N185="Y",8,0)+IF(O185="Y",4,0),ROUND((IF(L185="Y",8,0)+IF(O185="Y",4,0))*20/12,1))</f>
        <v/>
      </c>
      <c r="AA185" s="3">
        <f>IF(P185="Y",8,IF(P185="Partial",4,0))+IF(Q185="Y",6,IF(Q185="Partial",3,0))+IF(R185="Y",6,0)</f>
        <v/>
      </c>
      <c r="AB185" s="3">
        <f>IF(S185="Y",5,0)+IF(T185="Y",5,0)+IF(U185&gt;=3,5,IF(U185&gt;=1,2,0))</f>
        <v/>
      </c>
      <c r="AC185" s="3">
        <f>IF(V185&gt;=2,8,IF(V185&gt;=1,5,0))+IF(W185="Y",4,0)+IF(X185="Y",3,0)</f>
        <v/>
      </c>
      <c r="AD185" s="3">
        <f>IF(A185="","",IF(OR(H185="Y",I185&lt;2),"",ROUND(Y185+Z185+AA185+AB185+AC185,0)))</f>
        <v/>
      </c>
      <c r="AE185" s="3">
        <f>IF(A185="","",IF(H185="Y","Not recommended: active recall",IF(I185&lt;2,"Not enough evidence yet","Scored")))</f>
        <v/>
      </c>
      <c r="AF185" s="3">
        <f>IF(AD185="","",IF(AD185&gt;=85,"Excellent",IF(AD185&gt;=70,"Good",IF(AD185&gt;=55,"Fair","Poor"))))</f>
        <v/>
      </c>
      <c r="AG185" s="3">
        <f>IF(AD185="","",IF(OR(G185="Y",I185&gt;=5),"High",IF(I185&gt;=3,"Medium","Low")))</f>
        <v/>
      </c>
    </row>
    <row r="186">
      <c r="Y186" s="3">
        <f>IF(I186&gt;=3,10,IF(I186=2,5,0))+IF(J186="Y",10,IF(J186="Partial",5,0))+IF(K186="Y",10,0)</f>
        <v/>
      </c>
      <c r="Z186" s="3">
        <f>IF(M186="Y",IF(L186="Y",8,0)+IF(N186="Y",8,0)+IF(O186="Y",4,0),ROUND((IF(L186="Y",8,0)+IF(O186="Y",4,0))*20/12,1))</f>
        <v/>
      </c>
      <c r="AA186" s="3">
        <f>IF(P186="Y",8,IF(P186="Partial",4,0))+IF(Q186="Y",6,IF(Q186="Partial",3,0))+IF(R186="Y",6,0)</f>
        <v/>
      </c>
      <c r="AB186" s="3">
        <f>IF(S186="Y",5,0)+IF(T186="Y",5,0)+IF(U186&gt;=3,5,IF(U186&gt;=1,2,0))</f>
        <v/>
      </c>
      <c r="AC186" s="3">
        <f>IF(V186&gt;=2,8,IF(V186&gt;=1,5,0))+IF(W186="Y",4,0)+IF(X186="Y",3,0)</f>
        <v/>
      </c>
      <c r="AD186" s="3">
        <f>IF(A186="","",IF(OR(H186="Y",I186&lt;2),"",ROUND(Y186+Z186+AA186+AB186+AC186,0)))</f>
        <v/>
      </c>
      <c r="AE186" s="3">
        <f>IF(A186="","",IF(H186="Y","Not recommended: active recall",IF(I186&lt;2,"Not enough evidence yet","Scored")))</f>
        <v/>
      </c>
      <c r="AF186" s="3">
        <f>IF(AD186="","",IF(AD186&gt;=85,"Excellent",IF(AD186&gt;=70,"Good",IF(AD186&gt;=55,"Fair","Poor"))))</f>
        <v/>
      </c>
      <c r="AG186" s="3">
        <f>IF(AD186="","",IF(OR(G186="Y",I186&gt;=5),"High",IF(I186&gt;=3,"Medium","Low")))</f>
        <v/>
      </c>
    </row>
    <row r="187">
      <c r="Y187" s="3">
        <f>IF(I187&gt;=3,10,IF(I187=2,5,0))+IF(J187="Y",10,IF(J187="Partial",5,0))+IF(K187="Y",10,0)</f>
        <v/>
      </c>
      <c r="Z187" s="3">
        <f>IF(M187="Y",IF(L187="Y",8,0)+IF(N187="Y",8,0)+IF(O187="Y",4,0),ROUND((IF(L187="Y",8,0)+IF(O187="Y",4,0))*20/12,1))</f>
        <v/>
      </c>
      <c r="AA187" s="3">
        <f>IF(P187="Y",8,IF(P187="Partial",4,0))+IF(Q187="Y",6,IF(Q187="Partial",3,0))+IF(R187="Y",6,0)</f>
        <v/>
      </c>
      <c r="AB187" s="3">
        <f>IF(S187="Y",5,0)+IF(T187="Y",5,0)+IF(U187&gt;=3,5,IF(U187&gt;=1,2,0))</f>
        <v/>
      </c>
      <c r="AC187" s="3">
        <f>IF(V187&gt;=2,8,IF(V187&gt;=1,5,0))+IF(W187="Y",4,0)+IF(X187="Y",3,0)</f>
        <v/>
      </c>
      <c r="AD187" s="3">
        <f>IF(A187="","",IF(OR(H187="Y",I187&lt;2),"",ROUND(Y187+Z187+AA187+AB187+AC187,0)))</f>
        <v/>
      </c>
      <c r="AE187" s="3">
        <f>IF(A187="","",IF(H187="Y","Not recommended: active recall",IF(I187&lt;2,"Not enough evidence yet","Scored")))</f>
        <v/>
      </c>
      <c r="AF187" s="3">
        <f>IF(AD187="","",IF(AD187&gt;=85,"Excellent",IF(AD187&gt;=70,"Good",IF(AD187&gt;=55,"Fair","Poor"))))</f>
        <v/>
      </c>
      <c r="AG187" s="3">
        <f>IF(AD187="","",IF(OR(G187="Y",I187&gt;=5),"High",IF(I187&gt;=3,"Medium","Low")))</f>
        <v/>
      </c>
    </row>
    <row r="188">
      <c r="Y188" s="3">
        <f>IF(I188&gt;=3,10,IF(I188=2,5,0))+IF(J188="Y",10,IF(J188="Partial",5,0))+IF(K188="Y",10,0)</f>
        <v/>
      </c>
      <c r="Z188" s="3">
        <f>IF(M188="Y",IF(L188="Y",8,0)+IF(N188="Y",8,0)+IF(O188="Y",4,0),ROUND((IF(L188="Y",8,0)+IF(O188="Y",4,0))*20/12,1))</f>
        <v/>
      </c>
      <c r="AA188" s="3">
        <f>IF(P188="Y",8,IF(P188="Partial",4,0))+IF(Q188="Y",6,IF(Q188="Partial",3,0))+IF(R188="Y",6,0)</f>
        <v/>
      </c>
      <c r="AB188" s="3">
        <f>IF(S188="Y",5,0)+IF(T188="Y",5,0)+IF(U188&gt;=3,5,IF(U188&gt;=1,2,0))</f>
        <v/>
      </c>
      <c r="AC188" s="3">
        <f>IF(V188&gt;=2,8,IF(V188&gt;=1,5,0))+IF(W188="Y",4,0)+IF(X188="Y",3,0)</f>
        <v/>
      </c>
      <c r="AD188" s="3">
        <f>IF(A188="","",IF(OR(H188="Y",I188&lt;2),"",ROUND(Y188+Z188+AA188+AB188+AC188,0)))</f>
        <v/>
      </c>
      <c r="AE188" s="3">
        <f>IF(A188="","",IF(H188="Y","Not recommended: active recall",IF(I188&lt;2,"Not enough evidence yet","Scored")))</f>
        <v/>
      </c>
      <c r="AF188" s="3">
        <f>IF(AD188="","",IF(AD188&gt;=85,"Excellent",IF(AD188&gt;=70,"Good",IF(AD188&gt;=55,"Fair","Poor"))))</f>
        <v/>
      </c>
      <c r="AG188" s="3">
        <f>IF(AD188="","",IF(OR(G188="Y",I188&gt;=5),"High",IF(I188&gt;=3,"Medium","Low")))</f>
        <v/>
      </c>
    </row>
    <row r="189">
      <c r="Y189" s="3">
        <f>IF(I189&gt;=3,10,IF(I189=2,5,0))+IF(J189="Y",10,IF(J189="Partial",5,0))+IF(K189="Y",10,0)</f>
        <v/>
      </c>
      <c r="Z189" s="3">
        <f>IF(M189="Y",IF(L189="Y",8,0)+IF(N189="Y",8,0)+IF(O189="Y",4,0),ROUND((IF(L189="Y",8,0)+IF(O189="Y",4,0))*20/12,1))</f>
        <v/>
      </c>
      <c r="AA189" s="3">
        <f>IF(P189="Y",8,IF(P189="Partial",4,0))+IF(Q189="Y",6,IF(Q189="Partial",3,0))+IF(R189="Y",6,0)</f>
        <v/>
      </c>
      <c r="AB189" s="3">
        <f>IF(S189="Y",5,0)+IF(T189="Y",5,0)+IF(U189&gt;=3,5,IF(U189&gt;=1,2,0))</f>
        <v/>
      </c>
      <c r="AC189" s="3">
        <f>IF(V189&gt;=2,8,IF(V189&gt;=1,5,0))+IF(W189="Y",4,0)+IF(X189="Y",3,0)</f>
        <v/>
      </c>
      <c r="AD189" s="3">
        <f>IF(A189="","",IF(OR(H189="Y",I189&lt;2),"",ROUND(Y189+Z189+AA189+AB189+AC189,0)))</f>
        <v/>
      </c>
      <c r="AE189" s="3">
        <f>IF(A189="","",IF(H189="Y","Not recommended: active recall",IF(I189&lt;2,"Not enough evidence yet","Scored")))</f>
        <v/>
      </c>
      <c r="AF189" s="3">
        <f>IF(AD189="","",IF(AD189&gt;=85,"Excellent",IF(AD189&gt;=70,"Good",IF(AD189&gt;=55,"Fair","Poor"))))</f>
        <v/>
      </c>
      <c r="AG189" s="3">
        <f>IF(AD189="","",IF(OR(G189="Y",I189&gt;=5),"High",IF(I189&gt;=3,"Medium","Low")))</f>
        <v/>
      </c>
    </row>
    <row r="190">
      <c r="Y190" s="3">
        <f>IF(I190&gt;=3,10,IF(I190=2,5,0))+IF(J190="Y",10,IF(J190="Partial",5,0))+IF(K190="Y",10,0)</f>
        <v/>
      </c>
      <c r="Z190" s="3">
        <f>IF(M190="Y",IF(L190="Y",8,0)+IF(N190="Y",8,0)+IF(O190="Y",4,0),ROUND((IF(L190="Y",8,0)+IF(O190="Y",4,0))*20/12,1))</f>
        <v/>
      </c>
      <c r="AA190" s="3">
        <f>IF(P190="Y",8,IF(P190="Partial",4,0))+IF(Q190="Y",6,IF(Q190="Partial",3,0))+IF(R190="Y",6,0)</f>
        <v/>
      </c>
      <c r="AB190" s="3">
        <f>IF(S190="Y",5,0)+IF(T190="Y",5,0)+IF(U190&gt;=3,5,IF(U190&gt;=1,2,0))</f>
        <v/>
      </c>
      <c r="AC190" s="3">
        <f>IF(V190&gt;=2,8,IF(V190&gt;=1,5,0))+IF(W190="Y",4,0)+IF(X190="Y",3,0)</f>
        <v/>
      </c>
      <c r="AD190" s="3">
        <f>IF(A190="","",IF(OR(H190="Y",I190&lt;2),"",ROUND(Y190+Z190+AA190+AB190+AC190,0)))</f>
        <v/>
      </c>
      <c r="AE190" s="3">
        <f>IF(A190="","",IF(H190="Y","Not recommended: active recall",IF(I190&lt;2,"Not enough evidence yet","Scored")))</f>
        <v/>
      </c>
      <c r="AF190" s="3">
        <f>IF(AD190="","",IF(AD190&gt;=85,"Excellent",IF(AD190&gt;=70,"Good",IF(AD190&gt;=55,"Fair","Poor"))))</f>
        <v/>
      </c>
      <c r="AG190" s="3">
        <f>IF(AD190="","",IF(OR(G190="Y",I190&gt;=5),"High",IF(I190&gt;=3,"Medium","Low")))</f>
        <v/>
      </c>
    </row>
    <row r="191">
      <c r="Y191" s="3">
        <f>IF(I191&gt;=3,10,IF(I191=2,5,0))+IF(J191="Y",10,IF(J191="Partial",5,0))+IF(K191="Y",10,0)</f>
        <v/>
      </c>
      <c r="Z191" s="3">
        <f>IF(M191="Y",IF(L191="Y",8,0)+IF(N191="Y",8,0)+IF(O191="Y",4,0),ROUND((IF(L191="Y",8,0)+IF(O191="Y",4,0))*20/12,1))</f>
        <v/>
      </c>
      <c r="AA191" s="3">
        <f>IF(P191="Y",8,IF(P191="Partial",4,0))+IF(Q191="Y",6,IF(Q191="Partial",3,0))+IF(R191="Y",6,0)</f>
        <v/>
      </c>
      <c r="AB191" s="3">
        <f>IF(S191="Y",5,0)+IF(T191="Y",5,0)+IF(U191&gt;=3,5,IF(U191&gt;=1,2,0))</f>
        <v/>
      </c>
      <c r="AC191" s="3">
        <f>IF(V191&gt;=2,8,IF(V191&gt;=1,5,0))+IF(W191="Y",4,0)+IF(X191="Y",3,0)</f>
        <v/>
      </c>
      <c r="AD191" s="3">
        <f>IF(A191="","",IF(OR(H191="Y",I191&lt;2),"",ROUND(Y191+Z191+AA191+AB191+AC191,0)))</f>
        <v/>
      </c>
      <c r="AE191" s="3">
        <f>IF(A191="","",IF(H191="Y","Not recommended: active recall",IF(I191&lt;2,"Not enough evidence yet","Scored")))</f>
        <v/>
      </c>
      <c r="AF191" s="3">
        <f>IF(AD191="","",IF(AD191&gt;=85,"Excellent",IF(AD191&gt;=70,"Good",IF(AD191&gt;=55,"Fair","Poor"))))</f>
        <v/>
      </c>
      <c r="AG191" s="3">
        <f>IF(AD191="","",IF(OR(G191="Y",I191&gt;=5),"High",IF(I191&gt;=3,"Medium","Low")))</f>
        <v/>
      </c>
    </row>
    <row r="192">
      <c r="Y192" s="3">
        <f>IF(I192&gt;=3,10,IF(I192=2,5,0))+IF(J192="Y",10,IF(J192="Partial",5,0))+IF(K192="Y",10,0)</f>
        <v/>
      </c>
      <c r="Z192" s="3">
        <f>IF(M192="Y",IF(L192="Y",8,0)+IF(N192="Y",8,0)+IF(O192="Y",4,0),ROUND((IF(L192="Y",8,0)+IF(O192="Y",4,0))*20/12,1))</f>
        <v/>
      </c>
      <c r="AA192" s="3">
        <f>IF(P192="Y",8,IF(P192="Partial",4,0))+IF(Q192="Y",6,IF(Q192="Partial",3,0))+IF(R192="Y",6,0)</f>
        <v/>
      </c>
      <c r="AB192" s="3">
        <f>IF(S192="Y",5,0)+IF(T192="Y",5,0)+IF(U192&gt;=3,5,IF(U192&gt;=1,2,0))</f>
        <v/>
      </c>
      <c r="AC192" s="3">
        <f>IF(V192&gt;=2,8,IF(V192&gt;=1,5,0))+IF(W192="Y",4,0)+IF(X192="Y",3,0)</f>
        <v/>
      </c>
      <c r="AD192" s="3">
        <f>IF(A192="","",IF(OR(H192="Y",I192&lt;2),"",ROUND(Y192+Z192+AA192+AB192+AC192,0)))</f>
        <v/>
      </c>
      <c r="AE192" s="3">
        <f>IF(A192="","",IF(H192="Y","Not recommended: active recall",IF(I192&lt;2,"Not enough evidence yet","Scored")))</f>
        <v/>
      </c>
      <c r="AF192" s="3">
        <f>IF(AD192="","",IF(AD192&gt;=85,"Excellent",IF(AD192&gt;=70,"Good",IF(AD192&gt;=55,"Fair","Poor"))))</f>
        <v/>
      </c>
      <c r="AG192" s="3">
        <f>IF(AD192="","",IF(OR(G192="Y",I192&gt;=5),"High",IF(I192&gt;=3,"Medium","Low")))</f>
        <v/>
      </c>
    </row>
    <row r="193">
      <c r="Y193" s="3">
        <f>IF(I193&gt;=3,10,IF(I193=2,5,0))+IF(J193="Y",10,IF(J193="Partial",5,0))+IF(K193="Y",10,0)</f>
        <v/>
      </c>
      <c r="Z193" s="3">
        <f>IF(M193="Y",IF(L193="Y",8,0)+IF(N193="Y",8,0)+IF(O193="Y",4,0),ROUND((IF(L193="Y",8,0)+IF(O193="Y",4,0))*20/12,1))</f>
        <v/>
      </c>
      <c r="AA193" s="3">
        <f>IF(P193="Y",8,IF(P193="Partial",4,0))+IF(Q193="Y",6,IF(Q193="Partial",3,0))+IF(R193="Y",6,0)</f>
        <v/>
      </c>
      <c r="AB193" s="3">
        <f>IF(S193="Y",5,0)+IF(T193="Y",5,0)+IF(U193&gt;=3,5,IF(U193&gt;=1,2,0))</f>
        <v/>
      </c>
      <c r="AC193" s="3">
        <f>IF(V193&gt;=2,8,IF(V193&gt;=1,5,0))+IF(W193="Y",4,0)+IF(X193="Y",3,0)</f>
        <v/>
      </c>
      <c r="AD193" s="3">
        <f>IF(A193="","",IF(OR(H193="Y",I193&lt;2),"",ROUND(Y193+Z193+AA193+AB193+AC193,0)))</f>
        <v/>
      </c>
      <c r="AE193" s="3">
        <f>IF(A193="","",IF(H193="Y","Not recommended: active recall",IF(I193&lt;2,"Not enough evidence yet","Scored")))</f>
        <v/>
      </c>
      <c r="AF193" s="3">
        <f>IF(AD193="","",IF(AD193&gt;=85,"Excellent",IF(AD193&gt;=70,"Good",IF(AD193&gt;=55,"Fair","Poor"))))</f>
        <v/>
      </c>
      <c r="AG193" s="3">
        <f>IF(AD193="","",IF(OR(G193="Y",I193&gt;=5),"High",IF(I193&gt;=3,"Medium","Low")))</f>
        <v/>
      </c>
    </row>
    <row r="194">
      <c r="Y194" s="3">
        <f>IF(I194&gt;=3,10,IF(I194=2,5,0))+IF(J194="Y",10,IF(J194="Partial",5,0))+IF(K194="Y",10,0)</f>
        <v/>
      </c>
      <c r="Z194" s="3">
        <f>IF(M194="Y",IF(L194="Y",8,0)+IF(N194="Y",8,0)+IF(O194="Y",4,0),ROUND((IF(L194="Y",8,0)+IF(O194="Y",4,0))*20/12,1))</f>
        <v/>
      </c>
      <c r="AA194" s="3">
        <f>IF(P194="Y",8,IF(P194="Partial",4,0))+IF(Q194="Y",6,IF(Q194="Partial",3,0))+IF(R194="Y",6,0)</f>
        <v/>
      </c>
      <c r="AB194" s="3">
        <f>IF(S194="Y",5,0)+IF(T194="Y",5,0)+IF(U194&gt;=3,5,IF(U194&gt;=1,2,0))</f>
        <v/>
      </c>
      <c r="AC194" s="3">
        <f>IF(V194&gt;=2,8,IF(V194&gt;=1,5,0))+IF(W194="Y",4,0)+IF(X194="Y",3,0)</f>
        <v/>
      </c>
      <c r="AD194" s="3">
        <f>IF(A194="","",IF(OR(H194="Y",I194&lt;2),"",ROUND(Y194+Z194+AA194+AB194+AC194,0)))</f>
        <v/>
      </c>
      <c r="AE194" s="3">
        <f>IF(A194="","",IF(H194="Y","Not recommended: active recall",IF(I194&lt;2,"Not enough evidence yet","Scored")))</f>
        <v/>
      </c>
      <c r="AF194" s="3">
        <f>IF(AD194="","",IF(AD194&gt;=85,"Excellent",IF(AD194&gt;=70,"Good",IF(AD194&gt;=55,"Fair","Poor"))))</f>
        <v/>
      </c>
      <c r="AG194" s="3">
        <f>IF(AD194="","",IF(OR(G194="Y",I194&gt;=5),"High",IF(I194&gt;=3,"Medium","Low")))</f>
        <v/>
      </c>
    </row>
    <row r="195">
      <c r="Y195" s="3">
        <f>IF(I195&gt;=3,10,IF(I195=2,5,0))+IF(J195="Y",10,IF(J195="Partial",5,0))+IF(K195="Y",10,0)</f>
        <v/>
      </c>
      <c r="Z195" s="3">
        <f>IF(M195="Y",IF(L195="Y",8,0)+IF(N195="Y",8,0)+IF(O195="Y",4,0),ROUND((IF(L195="Y",8,0)+IF(O195="Y",4,0))*20/12,1))</f>
        <v/>
      </c>
      <c r="AA195" s="3">
        <f>IF(P195="Y",8,IF(P195="Partial",4,0))+IF(Q195="Y",6,IF(Q195="Partial",3,0))+IF(R195="Y",6,0)</f>
        <v/>
      </c>
      <c r="AB195" s="3">
        <f>IF(S195="Y",5,0)+IF(T195="Y",5,0)+IF(U195&gt;=3,5,IF(U195&gt;=1,2,0))</f>
        <v/>
      </c>
      <c r="AC195" s="3">
        <f>IF(V195&gt;=2,8,IF(V195&gt;=1,5,0))+IF(W195="Y",4,0)+IF(X195="Y",3,0)</f>
        <v/>
      </c>
      <c r="AD195" s="3">
        <f>IF(A195="","",IF(OR(H195="Y",I195&lt;2),"",ROUND(Y195+Z195+AA195+AB195+AC195,0)))</f>
        <v/>
      </c>
      <c r="AE195" s="3">
        <f>IF(A195="","",IF(H195="Y","Not recommended: active recall",IF(I195&lt;2,"Not enough evidence yet","Scored")))</f>
        <v/>
      </c>
      <c r="AF195" s="3">
        <f>IF(AD195="","",IF(AD195&gt;=85,"Excellent",IF(AD195&gt;=70,"Good",IF(AD195&gt;=55,"Fair","Poor"))))</f>
        <v/>
      </c>
      <c r="AG195" s="3">
        <f>IF(AD195="","",IF(OR(G195="Y",I195&gt;=5),"High",IF(I195&gt;=3,"Medium","Low")))</f>
        <v/>
      </c>
    </row>
    <row r="196">
      <c r="Y196" s="3">
        <f>IF(I196&gt;=3,10,IF(I196=2,5,0))+IF(J196="Y",10,IF(J196="Partial",5,0))+IF(K196="Y",10,0)</f>
        <v/>
      </c>
      <c r="Z196" s="3">
        <f>IF(M196="Y",IF(L196="Y",8,0)+IF(N196="Y",8,0)+IF(O196="Y",4,0),ROUND((IF(L196="Y",8,0)+IF(O196="Y",4,0))*20/12,1))</f>
        <v/>
      </c>
      <c r="AA196" s="3">
        <f>IF(P196="Y",8,IF(P196="Partial",4,0))+IF(Q196="Y",6,IF(Q196="Partial",3,0))+IF(R196="Y",6,0)</f>
        <v/>
      </c>
      <c r="AB196" s="3">
        <f>IF(S196="Y",5,0)+IF(T196="Y",5,0)+IF(U196&gt;=3,5,IF(U196&gt;=1,2,0))</f>
        <v/>
      </c>
      <c r="AC196" s="3">
        <f>IF(V196&gt;=2,8,IF(V196&gt;=1,5,0))+IF(W196="Y",4,0)+IF(X196="Y",3,0)</f>
        <v/>
      </c>
      <c r="AD196" s="3">
        <f>IF(A196="","",IF(OR(H196="Y",I196&lt;2),"",ROUND(Y196+Z196+AA196+AB196+AC196,0)))</f>
        <v/>
      </c>
      <c r="AE196" s="3">
        <f>IF(A196="","",IF(H196="Y","Not recommended: active recall",IF(I196&lt;2,"Not enough evidence yet","Scored")))</f>
        <v/>
      </c>
      <c r="AF196" s="3">
        <f>IF(AD196="","",IF(AD196&gt;=85,"Excellent",IF(AD196&gt;=70,"Good",IF(AD196&gt;=55,"Fair","Poor"))))</f>
        <v/>
      </c>
      <c r="AG196" s="3">
        <f>IF(AD196="","",IF(OR(G196="Y",I196&gt;=5),"High",IF(I196&gt;=3,"Medium","Low")))</f>
        <v/>
      </c>
    </row>
    <row r="197">
      <c r="Y197" s="3">
        <f>IF(I197&gt;=3,10,IF(I197=2,5,0))+IF(J197="Y",10,IF(J197="Partial",5,0))+IF(K197="Y",10,0)</f>
        <v/>
      </c>
      <c r="Z197" s="3">
        <f>IF(M197="Y",IF(L197="Y",8,0)+IF(N197="Y",8,0)+IF(O197="Y",4,0),ROUND((IF(L197="Y",8,0)+IF(O197="Y",4,0))*20/12,1))</f>
        <v/>
      </c>
      <c r="AA197" s="3">
        <f>IF(P197="Y",8,IF(P197="Partial",4,0))+IF(Q197="Y",6,IF(Q197="Partial",3,0))+IF(R197="Y",6,0)</f>
        <v/>
      </c>
      <c r="AB197" s="3">
        <f>IF(S197="Y",5,0)+IF(T197="Y",5,0)+IF(U197&gt;=3,5,IF(U197&gt;=1,2,0))</f>
        <v/>
      </c>
      <c r="AC197" s="3">
        <f>IF(V197&gt;=2,8,IF(V197&gt;=1,5,0))+IF(W197="Y",4,0)+IF(X197="Y",3,0)</f>
        <v/>
      </c>
      <c r="AD197" s="3">
        <f>IF(A197="","",IF(OR(H197="Y",I197&lt;2),"",ROUND(Y197+Z197+AA197+AB197+AC197,0)))</f>
        <v/>
      </c>
      <c r="AE197" s="3">
        <f>IF(A197="","",IF(H197="Y","Not recommended: active recall",IF(I197&lt;2,"Not enough evidence yet","Scored")))</f>
        <v/>
      </c>
      <c r="AF197" s="3">
        <f>IF(AD197="","",IF(AD197&gt;=85,"Excellent",IF(AD197&gt;=70,"Good",IF(AD197&gt;=55,"Fair","Poor"))))</f>
        <v/>
      </c>
      <c r="AG197" s="3">
        <f>IF(AD197="","",IF(OR(G197="Y",I197&gt;=5),"High",IF(I197&gt;=3,"Medium","Low")))</f>
        <v/>
      </c>
    </row>
    <row r="198">
      <c r="Y198" s="3">
        <f>IF(I198&gt;=3,10,IF(I198=2,5,0))+IF(J198="Y",10,IF(J198="Partial",5,0))+IF(K198="Y",10,0)</f>
        <v/>
      </c>
      <c r="Z198" s="3">
        <f>IF(M198="Y",IF(L198="Y",8,0)+IF(N198="Y",8,0)+IF(O198="Y",4,0),ROUND((IF(L198="Y",8,0)+IF(O198="Y",4,0))*20/12,1))</f>
        <v/>
      </c>
      <c r="AA198" s="3">
        <f>IF(P198="Y",8,IF(P198="Partial",4,0))+IF(Q198="Y",6,IF(Q198="Partial",3,0))+IF(R198="Y",6,0)</f>
        <v/>
      </c>
      <c r="AB198" s="3">
        <f>IF(S198="Y",5,0)+IF(T198="Y",5,0)+IF(U198&gt;=3,5,IF(U198&gt;=1,2,0))</f>
        <v/>
      </c>
      <c r="AC198" s="3">
        <f>IF(V198&gt;=2,8,IF(V198&gt;=1,5,0))+IF(W198="Y",4,0)+IF(X198="Y",3,0)</f>
        <v/>
      </c>
      <c r="AD198" s="3">
        <f>IF(A198="","",IF(OR(H198="Y",I198&lt;2),"",ROUND(Y198+Z198+AA198+AB198+AC198,0)))</f>
        <v/>
      </c>
      <c r="AE198" s="3">
        <f>IF(A198="","",IF(H198="Y","Not recommended: active recall",IF(I198&lt;2,"Not enough evidence yet","Scored")))</f>
        <v/>
      </c>
      <c r="AF198" s="3">
        <f>IF(AD198="","",IF(AD198&gt;=85,"Excellent",IF(AD198&gt;=70,"Good",IF(AD198&gt;=55,"Fair","Poor"))))</f>
        <v/>
      </c>
      <c r="AG198" s="3">
        <f>IF(AD198="","",IF(OR(G198="Y",I198&gt;=5),"High",IF(I198&gt;=3,"Medium","Low")))</f>
        <v/>
      </c>
    </row>
    <row r="199">
      <c r="Y199" s="3">
        <f>IF(I199&gt;=3,10,IF(I199=2,5,0))+IF(J199="Y",10,IF(J199="Partial",5,0))+IF(K199="Y",10,0)</f>
        <v/>
      </c>
      <c r="Z199" s="3">
        <f>IF(M199="Y",IF(L199="Y",8,0)+IF(N199="Y",8,0)+IF(O199="Y",4,0),ROUND((IF(L199="Y",8,0)+IF(O199="Y",4,0))*20/12,1))</f>
        <v/>
      </c>
      <c r="AA199" s="3">
        <f>IF(P199="Y",8,IF(P199="Partial",4,0))+IF(Q199="Y",6,IF(Q199="Partial",3,0))+IF(R199="Y",6,0)</f>
        <v/>
      </c>
      <c r="AB199" s="3">
        <f>IF(S199="Y",5,0)+IF(T199="Y",5,0)+IF(U199&gt;=3,5,IF(U199&gt;=1,2,0))</f>
        <v/>
      </c>
      <c r="AC199" s="3">
        <f>IF(V199&gt;=2,8,IF(V199&gt;=1,5,0))+IF(W199="Y",4,0)+IF(X199="Y",3,0)</f>
        <v/>
      </c>
      <c r="AD199" s="3">
        <f>IF(A199="","",IF(OR(H199="Y",I199&lt;2),"",ROUND(Y199+Z199+AA199+AB199+AC199,0)))</f>
        <v/>
      </c>
      <c r="AE199" s="3">
        <f>IF(A199="","",IF(H199="Y","Not recommended: active recall",IF(I199&lt;2,"Not enough evidence yet","Scored")))</f>
        <v/>
      </c>
      <c r="AF199" s="3">
        <f>IF(AD199="","",IF(AD199&gt;=85,"Excellent",IF(AD199&gt;=70,"Good",IF(AD199&gt;=55,"Fair","Poor"))))</f>
        <v/>
      </c>
      <c r="AG199" s="3">
        <f>IF(AD199="","",IF(OR(G199="Y",I199&gt;=5),"High",IF(I199&gt;=3,"Medium","Low")))</f>
        <v/>
      </c>
    </row>
    <row r="200">
      <c r="Y200" s="3">
        <f>IF(I200&gt;=3,10,IF(I200=2,5,0))+IF(J200="Y",10,IF(J200="Partial",5,0))+IF(K200="Y",10,0)</f>
        <v/>
      </c>
      <c r="Z200" s="3">
        <f>IF(M200="Y",IF(L200="Y",8,0)+IF(N200="Y",8,0)+IF(O200="Y",4,0),ROUND((IF(L200="Y",8,0)+IF(O200="Y",4,0))*20/12,1))</f>
        <v/>
      </c>
      <c r="AA200" s="3">
        <f>IF(P200="Y",8,IF(P200="Partial",4,0))+IF(Q200="Y",6,IF(Q200="Partial",3,0))+IF(R200="Y",6,0)</f>
        <v/>
      </c>
      <c r="AB200" s="3">
        <f>IF(S200="Y",5,0)+IF(T200="Y",5,0)+IF(U200&gt;=3,5,IF(U200&gt;=1,2,0))</f>
        <v/>
      </c>
      <c r="AC200" s="3">
        <f>IF(V200&gt;=2,8,IF(V200&gt;=1,5,0))+IF(W200="Y",4,0)+IF(X200="Y",3,0)</f>
        <v/>
      </c>
      <c r="AD200" s="3">
        <f>IF(A200="","",IF(OR(H200="Y",I200&lt;2),"",ROUND(Y200+Z200+AA200+AB200+AC200,0)))</f>
        <v/>
      </c>
      <c r="AE200" s="3">
        <f>IF(A200="","",IF(H200="Y","Not recommended: active recall",IF(I200&lt;2,"Not enough evidence yet","Scored")))</f>
        <v/>
      </c>
      <c r="AF200" s="3">
        <f>IF(AD200="","",IF(AD200&gt;=85,"Excellent",IF(AD200&gt;=70,"Good",IF(AD200&gt;=55,"Fair","Poor"))))</f>
        <v/>
      </c>
      <c r="AG200" s="3">
        <f>IF(AD200="","",IF(OR(G200="Y",I200&gt;=5),"High",IF(I200&gt;=3,"Medium","Low")))</f>
        <v/>
      </c>
    </row>
    <row r="201">
      <c r="Y201" s="3">
        <f>IF(I201&gt;=3,10,IF(I201=2,5,0))+IF(J201="Y",10,IF(J201="Partial",5,0))+IF(K201="Y",10,0)</f>
        <v/>
      </c>
      <c r="Z201" s="3">
        <f>IF(M201="Y",IF(L201="Y",8,0)+IF(N201="Y",8,0)+IF(O201="Y",4,0),ROUND((IF(L201="Y",8,0)+IF(O201="Y",4,0))*20/12,1))</f>
        <v/>
      </c>
      <c r="AA201" s="3">
        <f>IF(P201="Y",8,IF(P201="Partial",4,0))+IF(Q201="Y",6,IF(Q201="Partial",3,0))+IF(R201="Y",6,0)</f>
        <v/>
      </c>
      <c r="AB201" s="3">
        <f>IF(S201="Y",5,0)+IF(T201="Y",5,0)+IF(U201&gt;=3,5,IF(U201&gt;=1,2,0))</f>
        <v/>
      </c>
      <c r="AC201" s="3">
        <f>IF(V201&gt;=2,8,IF(V201&gt;=1,5,0))+IF(W201="Y",4,0)+IF(X201="Y",3,0)</f>
        <v/>
      </c>
      <c r="AD201" s="3">
        <f>IF(A201="","",IF(OR(H201="Y",I201&lt;2),"",ROUND(Y201+Z201+AA201+AB201+AC201,0)))</f>
        <v/>
      </c>
      <c r="AE201" s="3">
        <f>IF(A201="","",IF(H201="Y","Not recommended: active recall",IF(I201&lt;2,"Not enough evidence yet","Scored")))</f>
        <v/>
      </c>
      <c r="AF201" s="3">
        <f>IF(AD201="","",IF(AD201&gt;=85,"Excellent",IF(AD201&gt;=70,"Good",IF(AD201&gt;=55,"Fair","Poor"))))</f>
        <v/>
      </c>
      <c r="AG201" s="3">
        <f>IF(AD201="","",IF(OR(G201="Y",I201&gt;=5),"High",IF(I201&gt;=3,"Medium","Low")))</f>
        <v/>
      </c>
    </row>
  </sheetData>
  <dataValidations count="3">
    <dataValidation sqref="G2:G201 H2:H201 K2:K201 L2:L201 M2:M201 N2:N201 O2:O201 R2:R201 S2:S201 T2:T201 W2:W201 X2:X201" showDropDown="0" showInputMessage="0" showErrorMessage="0" allowBlank="1" type="list">
      <formula1>"Y,N"</formula1>
    </dataValidation>
    <dataValidation sqref="J2:J201 P2:P201 Q2:Q201" showDropDown="0" showInputMessage="0" showErrorMessage="0" allowBlank="1" type="list">
      <formula1>"Y,Partial,N"</formula1>
    </dataValidation>
    <dataValidation sqref="I2:I201 U2:U201 V2:V2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40" customWidth="1" min="4" max="4"/>
    <col width="22" customWidth="1" min="5" max="5"/>
    <col width="10" customWidth="1" min="6" max="6"/>
    <col width="40" customWidth="1" min="7" max="7"/>
    <col width="14" customWidth="1" min="8" max="8"/>
  </cols>
  <sheetData>
    <row r="1">
      <c r="A1" s="4" t="inlineStr">
        <is>
          <t>slug</t>
        </is>
      </c>
      <c r="B1" s="4" t="inlineStr">
        <is>
          <t>item (E1, S2, W1...)</t>
        </is>
      </c>
      <c r="C1" s="4" t="inlineStr">
        <is>
          <t>source title</t>
        </is>
      </c>
      <c r="D1" s="4" t="inlineStr">
        <is>
          <t>URL</t>
        </is>
      </c>
      <c r="E1" s="4" t="inlineStr">
        <is>
          <t>source type (editorial/Reddit/YouTube/manufacturer/government)</t>
        </is>
      </c>
      <c r="F1" s="4" t="inlineStr">
        <is>
          <t>real use? (Y/N)</t>
        </is>
      </c>
      <c r="G1" s="4" t="inlineStr">
        <is>
          <t>what it supports</t>
        </is>
      </c>
      <c r="H1" s="4" t="inlineStr">
        <is>
          <t>date accessed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0" customWidth="1" min="3" max="3"/>
    <col width="8" customWidth="1" min="4" max="4"/>
  </cols>
  <sheetData>
    <row r="1">
      <c r="A1" s="5" t="inlineStr">
        <is>
          <t>Pillar</t>
        </is>
      </c>
      <c r="B1" s="5" t="inlineStr">
        <is>
          <t>Item</t>
        </is>
      </c>
      <c r="C1" s="5" t="inlineStr">
        <is>
          <t>Rule</t>
        </is>
      </c>
      <c r="D1" s="5" t="inlineStr">
        <is>
          <t>Points</t>
        </is>
      </c>
    </row>
    <row r="2">
      <c r="A2" t="inlineStr">
        <is>
          <t>GATE</t>
        </is>
      </c>
      <c r="B2" t="inlineStr">
        <is>
          <t>Active recall</t>
        </is>
      </c>
      <c r="C2" t="inlineStr">
        <is>
          <t>Active recall for product/model in any market where we link to it (CPSC, EU Safety Gate, UK product safety recalls) → no score, 'Not recommended: active recall'</t>
        </is>
      </c>
      <c r="D2" t="inlineStr">
        <is>
          <t>—</t>
        </is>
      </c>
    </row>
    <row r="3">
      <c r="A3" t="inlineStr">
        <is>
          <t>GATE</t>
        </is>
      </c>
      <c r="B3" t="inlineStr">
        <is>
          <t>Evidence</t>
        </is>
      </c>
      <c r="C3" t="inlineStr">
        <is>
          <t>Fewer than 2 independent sources with real use → no score, 'Not enough evidence yet'</t>
        </is>
      </c>
      <c r="D3" t="inlineStr">
        <is>
          <t>—</t>
        </is>
      </c>
    </row>
    <row r="4">
      <c r="A4" t="inlineStr">
        <is>
          <t>Independent evidence (30)</t>
        </is>
      </c>
      <c r="B4" t="inlineStr">
        <is>
          <t>E1</t>
        </is>
      </c>
      <c r="C4" t="inlineStr">
        <is>
          <t>3+ independent sources with real use = 10; 2 = 5</t>
        </is>
      </c>
      <c r="D4" t="inlineStr">
        <is>
          <t>10</t>
        </is>
      </c>
    </row>
    <row r="5">
      <c r="B5" t="inlineStr">
        <is>
          <t>E2</t>
        </is>
      </c>
      <c r="C5" t="inlineStr">
        <is>
          <t>Sources agree the main function works: Y 10, Partial 5</t>
        </is>
      </c>
      <c r="D5" t="inlineStr">
        <is>
          <t>10</t>
        </is>
      </c>
    </row>
    <row r="6">
      <c r="B6" t="inlineStr">
        <is>
          <t>E3</t>
        </is>
      </c>
      <c r="C6" t="inlineStr">
        <is>
          <t>No failure mode reported in 2+ sources</t>
        </is>
      </c>
      <c r="D6" t="inlineStr">
        <is>
          <t>10</t>
        </is>
      </c>
    </row>
    <row r="7">
      <c r="A7" t="inlineStr">
        <is>
          <t>Safety &amp; compliance (20)</t>
        </is>
      </c>
      <c r="B7" t="inlineStr">
        <is>
          <t>S1</t>
        </is>
      </c>
      <c r="C7" t="inlineStr">
        <is>
          <t>No recalls for the brand in this category in the last 5 years, in the recall databases of the markets where it's sold</t>
        </is>
      </c>
      <c r="D7" t="inlineStr">
        <is>
          <t>8</t>
        </is>
      </c>
    </row>
    <row r="8">
      <c r="B8" t="inlineStr">
        <is>
          <t>S2</t>
        </is>
      </c>
      <c r="C8" t="inlineStr">
        <is>
          <t>Relevant independent certification verified in a public database: US UL/ETL listing or FCC ID; UK/EU certificate from an independent body (TÜV, VDE, BSI…). A CE/UKCA self-declaration alone doesn't count. If no certification applies, S1+S3 are scaled to 20</t>
        </is>
      </c>
      <c r="D8" t="inlineStr">
        <is>
          <t>8</t>
        </is>
      </c>
    </row>
    <row r="9">
      <c r="B9" t="inlineStr">
        <is>
          <t>S3</t>
        </is>
      </c>
      <c r="C9" t="inlineStr">
        <is>
          <t>Materials and safety warnings declared</t>
        </is>
      </c>
      <c r="D9" t="inlineStr">
        <is>
          <t>4</t>
        </is>
      </c>
    </row>
    <row r="10">
      <c r="A10" t="inlineStr">
        <is>
          <t>Specs &amp; claims transparency (20)</t>
        </is>
      </c>
      <c r="B10" t="inlineStr">
        <is>
          <t>P1</t>
        </is>
      </c>
      <c r="C10" t="inlineStr">
        <is>
          <t>Dimensions, weight, materials published by maker: Y 8, Partial 4</t>
        </is>
      </c>
      <c r="D10" t="inlineStr">
        <is>
          <t>8</t>
        </is>
      </c>
    </row>
    <row r="11">
      <c r="B11" t="inlineStr">
        <is>
          <t>P2</t>
        </is>
      </c>
      <c r="C11" t="inlineStr">
        <is>
          <t>Claims are measurable, not vague: Y 6, Partial 3</t>
        </is>
      </c>
      <c r="D11" t="inlineStr">
        <is>
          <t>6</t>
        </is>
      </c>
    </row>
    <row r="12">
      <c r="B12" t="inlineStr">
        <is>
          <t>P3</t>
        </is>
      </c>
      <c r="C12" t="inlineStr">
        <is>
          <t>Claims confirmed by at least one independent source</t>
        </is>
      </c>
      <c r="D12" t="inlineStr">
        <is>
          <t>6</t>
        </is>
      </c>
    </row>
    <row r="13">
      <c r="A13" t="inlineStr">
        <is>
          <t>Brand accountability (15)</t>
        </is>
      </c>
      <c r="B13" t="inlineStr">
        <is>
          <t>B1</t>
        </is>
      </c>
      <c r="C13" t="inlineStr">
        <is>
          <t>Own website with contact details and address</t>
        </is>
      </c>
      <c r="D13" t="inlineStr">
        <is>
          <t>5</t>
        </is>
      </c>
    </row>
    <row r="14">
      <c r="B14" t="inlineStr">
        <is>
          <t>B2</t>
        </is>
      </c>
      <c r="C14" t="inlineStr">
        <is>
          <t>Trademark registered at the USPTO, EUIPO or UK IPO, for a market where it's sold</t>
        </is>
      </c>
      <c r="D14" t="inlineStr">
        <is>
          <t>5</t>
        </is>
      </c>
    </row>
    <row r="15">
      <c r="B15" t="inlineStr">
        <is>
          <t>B3</t>
        </is>
      </c>
      <c r="C15" t="inlineStr">
        <is>
          <t>On the market 3+ years = 5; 1–3 years = 2</t>
        </is>
      </c>
      <c r="D15" t="inlineStr">
        <is>
          <t>5</t>
        </is>
      </c>
    </row>
    <row r="16">
      <c r="A16" t="inlineStr">
        <is>
          <t>Warranty &amp; support (15)</t>
        </is>
      </c>
      <c r="B16" t="inlineStr">
        <is>
          <t>W1</t>
        </is>
      </c>
      <c r="C16" t="inlineStr">
        <is>
          <t>Manufacturer warranty 2+ years = 8; 1 year = 5</t>
        </is>
      </c>
      <c r="D16" t="inlineStr">
        <is>
          <t>8</t>
        </is>
      </c>
    </row>
    <row r="17">
      <c r="B17" t="inlineStr">
        <is>
          <t>W2</t>
        </is>
      </c>
      <c r="C17" t="inlineStr">
        <is>
          <t>Warranty terms published with a clear claim process</t>
        </is>
      </c>
      <c r="D17" t="inlineStr">
        <is>
          <t>4</t>
        </is>
      </c>
    </row>
    <row r="18">
      <c r="B18" t="inlineStr">
        <is>
          <t>W3</t>
        </is>
      </c>
      <c r="C18" t="inlineStr">
        <is>
          <t>Spare parts or documented support</t>
        </is>
      </c>
      <c r="D18" t="inlineStr">
        <is>
          <t>3</t>
        </is>
      </c>
    </row>
    <row r="19">
      <c r="A19" t="inlineStr">
        <is>
          <t>Bands</t>
        </is>
      </c>
      <c r="C19" t="inlineStr">
        <is>
          <t>85–100 Excellent · 70–84 Good · 55–69 Fair · &lt;55 Poor</t>
        </is>
      </c>
    </row>
    <row r="20">
      <c r="A20" t="inlineStr">
        <is>
          <t>Confidence</t>
        </is>
      </c>
      <c r="C20" t="inlineStr">
        <is>
          <t>High: 5+ sources or hands-on tested · Medium: 3–4 · Low: 2</t>
        </is>
      </c>
    </row>
    <row r="21">
      <c r="A21" t="inlineStr">
        <is>
          <t>Never used</t>
        </is>
      </c>
      <c r="C21" t="inlineStr">
        <is>
          <t>Amazon reviews, star ratings, review counts, prices (Amazon Program Policies §6(t))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2026-10-26T19:11:19Z</dcterms:created>
  <dcterms:modified xmlns:dcterms="http://purl.org/dc/terms/" xmlns:xsi="http://www.w3.org/2001/XMLSchema-instance" xsi:type="dcterms:W3CDTF">2026-10-29T09:47:17Z</dcterms:modified>
</cp:coreProperties>
</file>